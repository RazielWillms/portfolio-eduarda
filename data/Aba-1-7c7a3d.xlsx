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" sheetId="1" r:id="rId5"/>
    <sheet state="visible" name="Página3" sheetId="2" r:id="rId6"/>
  </sheets>
  <definedNames>
    <definedName name="Registros">ABA!$A$13:$AP$500</definedName>
    <definedName name="Tentativas">ABA!$A$10:$AP$500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10">
      <text>
        <t xml:space="preserve">Esta porcentagem representa a média das notas dos recursos nos quais houve ao menos uma tentativa registrada, ou seja, só são considerados no cálculo os recursos em que o paciente realizou alguma tentativa.</t>
      </text>
    </comment>
    <comment authorId="0" ref="AQ10">
      <text>
        <t xml:space="preserve">Representa a média absoluta de todas as tentativas em todo o período das sessões.</t>
      </text>
    </comment>
    <comment authorId="0" ref="CC13">
      <text>
        <t xml:space="preserve">Esta célula utiliza média ponderada, ou seja, os valores são multiplicados por seus respectivos pesos antes de serem somados. Em seguida, o total é dividido pela soma dos pesos.</t>
      </text>
    </comment>
    <comment authorId="0" ref="A11">
      <text>
        <t xml:space="preserve">Utilizado para especificar um peso diferente e único para determinado recurso.</t>
      </text>
    </comment>
    <comment authorId="0" ref="BI3">
      <text>
        <t xml:space="preserve">Este parâmetro determina não apenas a sequência exigida nas análises abaixo, mas também a exibição do recurso em dourado nos lançamentos.</t>
      </text>
    </comment>
    <comment authorId="0" ref="AU3">
      <text>
        <t xml:space="preserve">Novos períodos de ano são adicionados automaticamente conforme os lançamentos. O sistema analisa o ano de cada lançamento e insere aqui uma opção distinta para cada ano identificado.</t>
      </text>
    </comment>
    <comment authorId="0" ref="Q2">
      <text>
        <t xml:space="preserve">Caso não informado um peso específico na tabela abaixo, este será levado em consideração, sendo, portanto, o peso padrão para a nota.</t>
      </text>
    </comment>
    <comment authorId="0" ref="CM12">
      <text>
        <t xml:space="preserve">Esta tabela monitora a sequência das sessões. Quando o valor esperado é alcançado, o recurso é considerado adquirido, e abaixo é possível visualizar a data em que isso ocorreu.</t>
      </text>
    </comment>
  </commentList>
</comments>
</file>

<file path=xl/sharedStrings.xml><?xml version="1.0" encoding="utf-8"?>
<sst xmlns="http://schemas.openxmlformats.org/spreadsheetml/2006/main" count="54" uniqueCount="47">
  <si>
    <t>PLANILHA DE REGISTRO DOS ATENDIMENTOS</t>
  </si>
  <si>
    <t>LEGENDA</t>
  </si>
  <si>
    <t>Parâmetros</t>
  </si>
  <si>
    <t>Nota</t>
  </si>
  <si>
    <t>Peso</t>
  </si>
  <si>
    <t>Descrição</t>
  </si>
  <si>
    <t>A</t>
  </si>
  <si>
    <t>Sem auxilio</t>
  </si>
  <si>
    <t>Período (*)</t>
  </si>
  <si>
    <t>Recurso (-)</t>
  </si>
  <si>
    <t>Sequência necessária para adquirir (+)</t>
  </si>
  <si>
    <t xml:space="preserve">Paciente:  </t>
  </si>
  <si>
    <t>B+</t>
  </si>
  <si>
    <t>Com menos ajuda</t>
  </si>
  <si>
    <t>Todo o período</t>
  </si>
  <si>
    <t>Esperar</t>
  </si>
  <si>
    <t xml:space="preserve">Responsável:  </t>
  </si>
  <si>
    <t>B-</t>
  </si>
  <si>
    <t>Com mais ajuda</t>
  </si>
  <si>
    <t xml:space="preserve">Observação:  </t>
  </si>
  <si>
    <t>C</t>
  </si>
  <si>
    <t>Não realizou</t>
  </si>
  <si>
    <t>Habilidade de curto prazo</t>
  </si>
  <si>
    <t>Progresso segmentado por recurso</t>
  </si>
  <si>
    <t>Adquirimento de recurso</t>
  </si>
  <si>
    <t>Vinculo Emocional</t>
  </si>
  <si>
    <t>Contato Visual</t>
  </si>
  <si>
    <t>Permanecer sentado na cadeira</t>
  </si>
  <si>
    <t>Seguir instruções de um passo</t>
  </si>
  <si>
    <t>%</t>
  </si>
  <si>
    <t>Média Geral</t>
  </si>
  <si>
    <t>Data</t>
  </si>
  <si>
    <t>Base para os gráficos</t>
  </si>
  <si>
    <t>Peso do recurso</t>
  </si>
  <si>
    <t>Está espelhado contra os lançamentos</t>
  </si>
  <si>
    <t>Lançamento</t>
  </si>
  <si>
    <t>Mês</t>
  </si>
  <si>
    <t>Num Mês</t>
  </si>
  <si>
    <t>Habilidade</t>
  </si>
  <si>
    <t>Recurso</t>
  </si>
  <si>
    <t>Status</t>
  </si>
  <si>
    <t>Atingiu</t>
  </si>
  <si>
    <t>Últimos 6 meses</t>
  </si>
  <si>
    <t/>
  </si>
  <si>
    <t>média geral</t>
  </si>
  <si>
    <t>Escolhido:</t>
  </si>
  <si>
    <t>Limite: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</si>
</sst>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dd/mm/yyyy"/>
    <numFmt numFmtId="167" formatCode="mmm"/>
  </numFmts>
  <fonts count="14">
    <font>
      <sz val="11.0"/>
      <color theme="1"/>
      <name val="Arial"/>
      <scheme val="minor"/>
    </font>
    <font>
      <b/>
      <sz val="14.0"/>
      <color rgb="FFFFFFFF"/>
      <name val="Arial"/>
    </font>
    <font/>
    <font>
      <sz val="14.0"/>
      <color theme="1"/>
      <name val="Arial"/>
    </font>
    <font>
      <b/>
      <sz val="15.0"/>
      <color rgb="FFFFFFFF"/>
      <name val="Calibri"/>
    </font>
    <font>
      <color theme="1"/>
      <name val="Arial"/>
      <scheme val="minor"/>
    </font>
    <font>
      <b/>
      <sz val="17.0"/>
      <color rgb="FFFFFFFF"/>
      <name val="Arial"/>
    </font>
    <font>
      <sz val="13.0"/>
      <color theme="1"/>
      <name val="Arial"/>
    </font>
    <font>
      <sz val="13.0"/>
      <color rgb="FF000000"/>
      <name val="Arial"/>
    </font>
    <font>
      <b/>
      <sz val="11.0"/>
      <color rgb="FFFFFFFF"/>
      <name val="Calibri"/>
    </font>
    <font>
      <sz val="14.0"/>
      <color rgb="FF434343"/>
      <name val="Arial"/>
    </font>
    <font>
      <b/>
      <sz val="24.0"/>
      <color theme="1"/>
      <name val="Calibri"/>
    </font>
    <font>
      <b/>
      <color rgb="FFFFFFFF"/>
      <name val="Arial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79C2A7"/>
        <bgColor rgb="FF79C2A7"/>
      </patternFill>
    </fill>
    <fill>
      <patternFill patternType="solid">
        <fgColor rgb="FFF3F3F3"/>
        <bgColor rgb="FFF3F3F3"/>
      </patternFill>
    </fill>
    <fill>
      <patternFill patternType="solid">
        <fgColor rgb="FF5F9C83"/>
        <bgColor rgb="FF5F9C83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386C57"/>
        <bgColor rgb="FF386C57"/>
      </patternFill>
    </fill>
    <fill>
      <patternFill patternType="solid">
        <fgColor rgb="FF437D66"/>
        <bgColor rgb="FF437D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2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top style="thin">
        <color rgb="FFFFFFFF"/>
      </top>
    </border>
    <border>
      <left/>
      <bottom/>
    </border>
    <border>
      <bottom/>
    </border>
    <border>
      <right/>
      <bottom/>
    </border>
    <border>
      <top style="thin">
        <color rgb="FFFFFFFF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0" fillId="2" fontId="4" numFmtId="0" xfId="0" applyAlignment="1" applyFont="1">
      <alignment horizontal="center" readingOrder="0" textRotation="0" vertical="center"/>
    </xf>
    <xf borderId="3" fillId="0" fontId="3" numFmtId="0" xfId="0" applyBorder="1" applyFont="1"/>
    <xf borderId="4" fillId="0" fontId="5" numFmtId="0" xfId="0" applyBorder="1" applyFont="1"/>
    <xf borderId="1" fillId="0" fontId="5" numFmtId="0" xfId="0" applyBorder="1" applyFont="1"/>
    <xf borderId="3" fillId="0" fontId="5" numFmtId="0" xfId="0" applyBorder="1" applyFont="1"/>
    <xf borderId="0" fillId="2" fontId="6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/>
    </xf>
    <xf borderId="5" fillId="3" fontId="7" numFmtId="0" xfId="0" applyAlignment="1" applyBorder="1" applyFill="1" applyFont="1">
      <alignment readingOrder="0"/>
    </xf>
    <xf borderId="6" fillId="3" fontId="7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4" fillId="0" fontId="5" numFmtId="0" xfId="0" applyAlignment="1" applyBorder="1" applyFont="1">
      <alignment readingOrder="0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3" numFmtId="0" xfId="0" applyAlignment="1" applyBorder="1" applyFont="1">
      <alignment horizontal="right" readingOrder="0"/>
    </xf>
    <xf borderId="14" fillId="0" fontId="3" numFmtId="0" xfId="0" applyAlignment="1" applyBorder="1" applyFont="1">
      <alignment horizontal="left" readingOrder="0"/>
    </xf>
    <xf borderId="14" fillId="0" fontId="5" numFmtId="0" xfId="0" applyBorder="1" applyFont="1"/>
    <xf borderId="14" fillId="0" fontId="5" numFmtId="0" xfId="0" applyBorder="1" applyFont="1"/>
    <xf borderId="1" fillId="0" fontId="5" numFmtId="0" xfId="0" applyBorder="1" applyFont="1"/>
    <xf borderId="15" fillId="0" fontId="7" numFmtId="0" xfId="0" applyAlignment="1" applyBorder="1" applyFont="1">
      <alignment readingOrder="0"/>
    </xf>
    <xf borderId="15" fillId="0" fontId="7" numFmtId="0" xfId="0" applyAlignment="1" applyBorder="1" applyFont="1">
      <alignment horizontal="center" readingOrder="0"/>
    </xf>
    <xf borderId="16" fillId="0" fontId="8" numFmtId="0" xfId="0" applyBorder="1" applyFont="1"/>
    <xf borderId="17" fillId="0" fontId="2" numFmtId="0" xfId="0" applyBorder="1" applyFont="1"/>
    <xf borderId="18" fillId="0" fontId="2" numFmtId="0" xfId="0" applyBorder="1" applyFont="1"/>
    <xf borderId="4" fillId="0" fontId="3" numFmtId="0" xfId="0" applyBorder="1" applyFont="1"/>
    <xf borderId="2" fillId="0" fontId="5" numFmtId="0" xfId="0" applyBorder="1" applyFont="1"/>
    <xf borderId="0" fillId="4" fontId="9" numFmtId="0" xfId="0" applyAlignment="1" applyFill="1" applyFont="1">
      <alignment horizontal="center" readingOrder="0" textRotation="0" vertical="center"/>
    </xf>
    <xf borderId="0" fillId="5" fontId="9" numFmtId="0" xfId="0" applyAlignment="1" applyFill="1" applyFont="1">
      <alignment horizontal="center" readingOrder="0" textRotation="0" vertical="center"/>
    </xf>
    <xf borderId="0" fillId="6" fontId="9" numFmtId="0" xfId="0" applyAlignment="1" applyFill="1" applyFont="1">
      <alignment horizontal="center" readingOrder="0" textRotation="0" vertical="center"/>
    </xf>
    <xf borderId="19" fillId="3" fontId="10" numFmtId="0" xfId="0" applyAlignment="1" applyBorder="1" applyFont="1">
      <alignment horizontal="right"/>
    </xf>
    <xf borderId="20" fillId="0" fontId="2" numFmtId="0" xfId="0" applyBorder="1" applyFont="1"/>
    <xf borderId="21" fillId="0" fontId="2" numFmtId="0" xfId="0" applyBorder="1" applyFont="1"/>
    <xf borderId="19" fillId="0" fontId="3" numFmtId="0" xfId="0" applyAlignment="1" applyBorder="1" applyFont="1">
      <alignment horizontal="left" readingOrder="0" shrinkToFit="0" wrapText="0"/>
    </xf>
    <xf borderId="2" fillId="0" fontId="5" numFmtId="0" xfId="0" applyBorder="1" applyFont="1"/>
    <xf borderId="4" fillId="0" fontId="11" numFmtId="9" xfId="0" applyBorder="1" applyFont="1" applyNumberFormat="1"/>
    <xf borderId="6" fillId="0" fontId="5" numFmtId="0" xfId="0" applyAlignment="1" applyBorder="1" applyFont="1">
      <alignment horizontal="center" readingOrder="0"/>
    </xf>
    <xf borderId="22" fillId="0" fontId="5" numFmtId="0" xfId="0" applyBorder="1" applyFont="1"/>
    <xf borderId="15" fillId="0" fontId="7" numFmtId="0" xfId="0" applyAlignment="1" applyBorder="1" applyFont="1">
      <alignment horizontal="center"/>
    </xf>
    <xf borderId="19" fillId="3" fontId="10" numFmtId="0" xfId="0" applyAlignment="1" applyBorder="1" applyFont="1">
      <alignment horizontal="right" readingOrder="0"/>
    </xf>
    <xf borderId="2" fillId="0" fontId="3" numFmtId="0" xfId="0" applyBorder="1" applyFont="1"/>
    <xf borderId="11" fillId="0" fontId="3" numFmtId="0" xfId="0" applyBorder="1" applyFont="1"/>
    <xf borderId="23" fillId="2" fontId="6" numFmtId="0" xfId="0" applyAlignment="1" applyBorder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26" fillId="2" fontId="6" numFmtId="0" xfId="0" applyAlignment="1" applyBorder="1" applyFont="1">
      <alignment horizontal="center" readingOrder="0" vertical="center"/>
    </xf>
    <xf borderId="26" fillId="0" fontId="2" numFmtId="0" xfId="0" applyBorder="1" applyFont="1"/>
    <xf borderId="24" fillId="2" fontId="6" numFmtId="0" xfId="0" applyAlignment="1" applyBorder="1" applyFont="1">
      <alignment horizontal="center" readingOrder="0" vertical="center"/>
    </xf>
    <xf borderId="0" fillId="7" fontId="6" numFmtId="0" xfId="0" applyAlignment="1" applyFill="1" applyFont="1">
      <alignment horizontal="center" readingOrder="0" vertical="center"/>
    </xf>
    <xf borderId="0" fillId="4" fontId="9" numFmtId="0" xfId="0" applyAlignment="1" applyFont="1">
      <alignment horizontal="center" readingOrder="0" textRotation="0" vertical="center"/>
    </xf>
    <xf borderId="16" fillId="4" fontId="9" numFmtId="0" xfId="0" applyAlignment="1" applyBorder="1" applyFont="1">
      <alignment horizontal="center" readingOrder="0" textRotation="0" vertical="center"/>
    </xf>
    <xf borderId="27" fillId="4" fontId="9" numFmtId="0" xfId="0" applyAlignment="1" applyBorder="1" applyFont="1">
      <alignment horizontal="center" readingOrder="0" vertical="center"/>
    </xf>
    <xf borderId="0" fillId="4" fontId="12" numFmtId="0" xfId="0" applyAlignment="1" applyFont="1">
      <alignment readingOrder="0"/>
    </xf>
    <xf borderId="9" fillId="4" fontId="5" numFmtId="0" xfId="0" applyBorder="1" applyFont="1"/>
    <xf borderId="9" fillId="0" fontId="2" numFmtId="0" xfId="0" applyBorder="1" applyFont="1"/>
    <xf borderId="0" fillId="4" fontId="9" numFmtId="0" xfId="0" applyAlignment="1" applyFont="1">
      <alignment horizontal="center" readingOrder="0" vertical="center"/>
    </xf>
    <xf borderId="0" fillId="8" fontId="9" numFmtId="0" xfId="0" applyAlignment="1" applyFill="1" applyFont="1">
      <alignment horizontal="center" readingOrder="0" vertical="center"/>
    </xf>
    <xf borderId="0" fillId="9" fontId="9" numFmtId="0" xfId="0" applyAlignment="1" applyFill="1" applyFont="1">
      <alignment horizontal="center" readingOrder="0" textRotation="0" vertical="center"/>
    </xf>
    <xf borderId="27" fillId="9" fontId="5" numFmtId="0" xfId="0" applyAlignment="1" applyBorder="1" applyFont="1">
      <alignment horizontal="center" readingOrder="0"/>
    </xf>
    <xf borderId="0" fillId="9" fontId="5" numFmtId="0" xfId="0" applyAlignment="1" applyFont="1">
      <alignment horizontal="center" readingOrder="0"/>
    </xf>
    <xf borderId="28" fillId="9" fontId="5" numFmtId="0" xfId="0" applyAlignment="1" applyBorder="1" applyFont="1">
      <alignment horizontal="center" readingOrder="0"/>
    </xf>
    <xf borderId="27" fillId="0" fontId="2" numFmtId="0" xfId="0" applyBorder="1" applyFont="1"/>
    <xf borderId="0" fillId="0" fontId="5" numFmtId="10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0" fontId="9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7" fillId="4" fontId="9" numFmtId="0" xfId="0" applyAlignment="1" applyBorder="1" applyFont="1">
      <alignment horizontal="center" readingOrder="0" textRotation="0" vertical="center"/>
    </xf>
    <xf borderId="7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3" fontId="5" numFmtId="164" xfId="0" applyAlignment="1" applyFont="1" applyNumberFormat="1">
      <alignment horizontal="center" readingOrder="0"/>
    </xf>
    <xf borderId="27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8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28" fillId="3" fontId="5" numFmtId="0" xfId="0" applyAlignment="1" applyBorder="1" applyFont="1">
      <alignment horizontal="center"/>
    </xf>
    <xf borderId="27" fillId="0" fontId="5" numFmtId="10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0" fillId="3" fontId="5" numFmtId="164" xfId="0" applyAlignment="1" applyFont="1" applyNumberFormat="1">
      <alignment horizontal="center"/>
    </xf>
    <xf borderId="0" fillId="3" fontId="5" numFmtId="10" xfId="0" applyAlignment="1" applyFont="1" applyNumberFormat="1">
      <alignment horizontal="center"/>
    </xf>
    <xf borderId="0" fillId="11" fontId="5" numFmtId="0" xfId="0" applyAlignment="1" applyFill="1" applyFont="1">
      <alignment readingOrder="0"/>
    </xf>
    <xf borderId="0" fillId="11" fontId="5" numFmtId="0" xfId="0" applyAlignment="1" applyFont="1">
      <alignment horizontal="center" readingOrder="0"/>
    </xf>
    <xf borderId="0" fillId="11" fontId="5" numFmtId="165" xfId="0" applyFont="1" applyNumberFormat="1"/>
    <xf borderId="0" fillId="11" fontId="5" numFmtId="166" xfId="0" applyAlignment="1" applyFont="1" applyNumberFormat="1">
      <alignment readingOrder="0"/>
    </xf>
    <xf borderId="0" fillId="3" fontId="5" numFmtId="167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27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28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28" fillId="0" fontId="5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0" fillId="11" fontId="5" numFmtId="10" xfId="0" applyFont="1" applyNumberFormat="1"/>
    <xf borderId="0" fillId="11" fontId="5" numFmtId="0" xfId="0" applyFont="1"/>
    <xf borderId="0" fillId="11" fontId="5" numFmtId="14" xfId="0" applyFont="1" applyNumberFormat="1"/>
    <xf borderId="0" fillId="0" fontId="5" numFmtId="167" xfId="0" applyAlignment="1" applyFont="1" applyNumberFormat="1">
      <alignment horizontal="center"/>
    </xf>
    <xf borderId="27" fillId="3" fontId="5" numFmtId="0" xfId="0" applyAlignment="1" applyBorder="1" applyFont="1">
      <alignment horizontal="center"/>
    </xf>
    <xf borderId="0" fillId="11" fontId="5" numFmtId="166" xfId="0" applyFont="1" applyNumberFormat="1"/>
    <xf borderId="27" fillId="0" fontId="5" numFmtId="0" xfId="0" applyAlignment="1" applyBorder="1" applyFont="1">
      <alignment horizontal="center"/>
    </xf>
    <xf borderId="4" fillId="0" fontId="5" numFmtId="167" xfId="0" applyBorder="1" applyFont="1" applyNumberFormat="1"/>
    <xf borderId="3" fillId="0" fontId="13" numFmtId="0" xfId="0" applyBorder="1" applyFont="1"/>
    <xf borderId="1" fillId="0" fontId="13" numFmtId="0" xfId="0" applyBorder="1" applyFont="1"/>
    <xf borderId="4" fillId="0" fontId="13" numFmtId="0" xfId="0" applyBorder="1" applyFont="1"/>
    <xf borderId="2" fillId="0" fontId="13" numFmtId="0" xfId="0" applyBorder="1" applyFont="1"/>
  </cellXfs>
  <cellStyles count="1">
    <cellStyle xfId="0" name="Normal" builtinId="0"/>
  </cellStyles>
  <dxfs count="2">
    <dxf>
      <font>
        <color rgb="FFD9D9D9"/>
      </font>
      <fill>
        <patternFill patternType="none"/>
      </fill>
      <border/>
    </dxf>
    <dxf>
      <font/>
      <fill>
        <patternFill patternType="solid">
          <fgColor rgb="FFC39814"/>
          <bgColor rgb="FFC3981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accent2"/>
                </a:solidFill>
                <a:latin typeface="+mn-lt"/>
              </a:defRPr>
            </a:pPr>
            <a:r>
              <a:rPr b="0">
                <a:solidFill>
                  <a:schemeClr val="accent2"/>
                </a:solidFill>
                <a:latin typeface="+mn-lt"/>
              </a:rPr>
              <a:t>Média Geral em Recurso (Filtrar recurso) *-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37D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ABA!$DS$16</c:f>
            </c:strRef>
          </c:cat>
          <c:val>
            <c:numRef>
              <c:f>ABA!$DT$16</c:f>
              <c:numCache/>
            </c:numRef>
          </c:val>
        </c:ser>
        <c:axId val="691135669"/>
        <c:axId val="1936403941"/>
      </c:barChart>
      <c:catAx>
        <c:axId val="691135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403941"/>
      </c:catAx>
      <c:valAx>
        <c:axId val="193640394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135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7D66"/>
                </a:solidFill>
                <a:latin typeface="+mn-lt"/>
              </a:defRPr>
            </a:pPr>
            <a:r>
              <a:rPr b="0">
                <a:solidFill>
                  <a:srgbClr val="437D66"/>
                </a:solidFill>
                <a:latin typeface="+mn-lt"/>
              </a:rPr>
              <a:t>Overview Recursos *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ABA!$DG$13</c:f>
            </c:strRef>
          </c:tx>
          <c:spPr>
            <a:solidFill>
              <a:srgbClr val="437D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ABA!$DF$14:$DF$23</c:f>
            </c:strRef>
          </c:cat>
          <c:val>
            <c:numRef>
              <c:f>ABA!$DG$14:$DG$23</c:f>
              <c:numCache/>
            </c:numRef>
          </c:val>
        </c:ser>
        <c:axId val="583994707"/>
        <c:axId val="1609696901"/>
      </c:barChart>
      <c:catAx>
        <c:axId val="583994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Habilidade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9696901"/>
      </c:catAx>
      <c:valAx>
        <c:axId val="160969690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Geral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994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Overview Recursos (Últimos 3 Meses)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ABA!$DN$13</c:f>
            </c:strRef>
          </c:tx>
          <c:spPr>
            <a:solidFill>
              <a:srgbClr val="43434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ABA!$DM$14:$DM$23</c:f>
            </c:strRef>
          </c:cat>
          <c:val>
            <c:numRef>
              <c:f>ABA!$DN$14:$DN$23</c:f>
              <c:numCache/>
            </c:numRef>
          </c:val>
        </c:ser>
        <c:ser>
          <c:idx val="1"/>
          <c:order val="1"/>
          <c:tx>
            <c:strRef>
              <c:f>ABA!$DG$13</c:f>
            </c:strRef>
          </c:tx>
          <c:cat>
            <c:strRef>
              <c:f>ABA!$DM$14:$DM$23</c:f>
            </c:strRef>
          </c:cat>
          <c:val>
            <c:numRef>
              <c:f>ABA!$DG$14:$DG$23</c:f>
              <c:numCache/>
            </c:numRef>
          </c:val>
        </c:ser>
        <c:axId val="1565949272"/>
        <c:axId val="576491816"/>
      </c:barChart>
      <c:catAx>
        <c:axId val="15659492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Habilidade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491816"/>
      </c:catAx>
      <c:valAx>
        <c:axId val="576491816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Geral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9492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accent1"/>
                </a:solidFill>
                <a:latin typeface="+mn-lt"/>
              </a:defRPr>
            </a:pPr>
            <a:r>
              <a:rPr b="0">
                <a:solidFill>
                  <a:schemeClr val="accent1"/>
                </a:solidFill>
                <a:latin typeface="+mn-lt"/>
              </a:rPr>
              <a:t>Adquirimento de Recurso +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ABA!$DK$13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ABA!$DI$14:$DI$23</c:f>
            </c:strRef>
          </c:cat>
          <c:val>
            <c:numRef>
              <c:f>ABA!$DK$14:$DK$23</c:f>
              <c:numCache/>
            </c:numRef>
          </c:val>
        </c:ser>
        <c:axId val="1383216961"/>
        <c:axId val="402355802"/>
      </c:radarChart>
      <c:catAx>
        <c:axId val="1383216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355802"/>
      </c:catAx>
      <c:valAx>
        <c:axId val="40235580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216961"/>
      </c:valAx>
    </c:plotArea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64</xdr:col>
      <xdr:colOff>533400</xdr:colOff>
      <xdr:row>30</xdr:row>
      <xdr:rowOff>85725</xdr:rowOff>
    </xdr:from>
    <xdr:ext cx="5715000" cy="3533775"/>
    <xdr:pic>
      <xdr:nvPicPr>
        <xdr:cNvPr id="200274700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9525</xdr:colOff>
      <xdr:row>12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45</xdr:col>
      <xdr:colOff>76200</xdr:colOff>
      <xdr:row>12</xdr:row>
      <xdr:rowOff>0</xdr:rowOff>
    </xdr:from>
    <xdr:ext cx="5715000" cy="3533775"/>
    <xdr:graphicFrame>
      <xdr:nvGraphicFramePr>
        <xdr:cNvPr descr="Sem informação" id="3" name="Chart 3" title="Overview Recursos *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55</xdr:col>
      <xdr:colOff>9525</xdr:colOff>
      <xdr:row>30</xdr:row>
      <xdr:rowOff>85725</xdr:rowOff>
    </xdr:from>
    <xdr:ext cx="5715000" cy="3533775"/>
    <xdr:pic>
      <xdr:nvPicPr>
        <xdr:cNvPr id="1297100822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76200</xdr:colOff>
      <xdr:row>30</xdr:row>
      <xdr:rowOff>85725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64</xdr:col>
      <xdr:colOff>533400</xdr:colOff>
      <xdr:row>11</xdr:row>
      <xdr:rowOff>190500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75</xdr:col>
      <xdr:colOff>533400</xdr:colOff>
      <xdr:row>0</xdr:row>
      <xdr:rowOff>85725</xdr:rowOff>
    </xdr:from>
    <xdr:ext cx="2114550" cy="1028700"/>
    <xdr:grpSp>
      <xdr:nvGrpSpPr>
        <xdr:cNvPr id="2" name="Shape 2" title="Desenho"/>
        <xdr:cNvGrpSpPr/>
      </xdr:nvGrpSpPr>
      <xdr:grpSpPr>
        <a:xfrm>
          <a:off x="2892050" y="1180850"/>
          <a:ext cx="2571900" cy="1010700"/>
          <a:chOff x="2892050" y="1180850"/>
          <a:chExt cx="2571900" cy="1010700"/>
        </a:xfrm>
      </xdr:grpSpPr>
      <xdr:sp>
        <xdr:nvSpPr>
          <xdr:cNvPr id="3" name="Shape 3"/>
          <xdr:cNvSpPr/>
        </xdr:nvSpPr>
        <xdr:spPr>
          <a:xfrm rot="10800000">
            <a:off x="2892050" y="1180850"/>
            <a:ext cx="2571900" cy="1010700"/>
          </a:xfrm>
          <a:prstGeom prst="wedgeRectCallout">
            <a:avLst>
              <a:gd fmla="val -21204" name="adj1"/>
              <a:gd fmla="val 81686" name="adj2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847900" y="1347650"/>
            <a:ext cx="1515900" cy="677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latin typeface="Roboto"/>
                <a:ea typeface="Roboto"/>
                <a:cs typeface="Roboto"/>
                <a:sym typeface="Roboto"/>
              </a:rPr>
              <a:t>Amplie para </a:t>
            </a:r>
            <a:endParaRPr b="1" sz="1600">
              <a:latin typeface="Roboto"/>
              <a:ea typeface="Roboto"/>
              <a:cs typeface="Roboto"/>
              <a:sym typeface="Roboto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latin typeface="Roboto"/>
                <a:ea typeface="Roboto"/>
                <a:cs typeface="Roboto"/>
                <a:sym typeface="Roboto"/>
              </a:rPr>
              <a:t>mais detalhes</a:t>
            </a:r>
            <a:endParaRPr b="1" sz="1600">
              <a:latin typeface="Roboto"/>
              <a:ea typeface="Roboto"/>
              <a:cs typeface="Roboto"/>
              <a:sym typeface="Roboto"/>
            </a:endParaRPr>
          </a:p>
        </xdr:txBody>
      </xdr:sp>
      <xdr:sp>
        <xdr:nvSpPr>
          <xdr:cNvPr id="5" name="Shape 5"/>
          <xdr:cNvSpPr/>
        </xdr:nvSpPr>
        <xdr:spPr>
          <a:xfrm>
            <a:off x="3152225" y="1434650"/>
            <a:ext cx="555600" cy="503100"/>
          </a:xfrm>
          <a:prstGeom prst="mathPlus">
            <a:avLst>
              <a:gd fmla="val 23520" name="adj1"/>
            </a:avLst>
          </a:prstGeom>
          <a:solidFill>
            <a:srgbClr val="00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66675</xdr:colOff>
      <xdr:row>1</xdr:row>
      <xdr:rowOff>28575</xdr:rowOff>
    </xdr:from>
    <xdr:ext cx="2428875" cy="1514475"/>
    <xdr:pic>
      <xdr:nvPicPr>
        <xdr:cNvPr id="0" name="image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</xdr:col>
      <xdr:colOff>209550</xdr:colOff>
      <xdr:row>1</xdr:row>
      <xdr:rowOff>28575</xdr:rowOff>
    </xdr:from>
    <xdr:ext cx="2428875" cy="1514475"/>
    <xdr:pic>
      <xdr:nvPicPr>
        <xdr:cNvPr id="0" name="image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1.75"/>
    <col customWidth="1" min="2" max="41" width="6.38"/>
    <col customWidth="1" min="42" max="42" width="10.88"/>
    <col customWidth="1" min="43" max="43" width="11.63"/>
    <col customWidth="1" min="44" max="68" width="7.63"/>
    <col customWidth="1" min="69" max="69" width="8.13"/>
    <col customWidth="1" min="70" max="78" width="7.63"/>
    <col collapsed="1" customWidth="1" min="79" max="79" width="7.63"/>
    <col customWidth="1" hidden="1" min="80" max="101" width="25.13" outlineLevel="1"/>
    <col customWidth="1" min="102" max="120" width="7.63"/>
    <col customWidth="1" min="121" max="121" width="11.13"/>
    <col customWidth="1" min="122" max="124" width="7.63"/>
    <col customWidth="1" min="125" max="125" width="15.38"/>
    <col customWidth="1" min="126" max="127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 t="s">
        <v>1</v>
      </c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7"/>
      <c r="AR1" s="9"/>
      <c r="AS1" s="8"/>
      <c r="AT1" s="10" t="s">
        <v>2</v>
      </c>
      <c r="BX1" s="9"/>
      <c r="BY1" s="9"/>
      <c r="BZ1" s="9"/>
      <c r="CA1" s="9"/>
      <c r="CB1" s="9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8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4"/>
      <c r="P2" s="12" t="s">
        <v>3</v>
      </c>
      <c r="Q2" s="12" t="s">
        <v>4</v>
      </c>
      <c r="R2" s="13" t="s">
        <v>5</v>
      </c>
      <c r="S2" s="14"/>
      <c r="T2" s="15"/>
      <c r="U2" s="6"/>
      <c r="V2" s="7"/>
      <c r="W2" s="1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8"/>
      <c r="AQ2" s="7"/>
      <c r="AR2" s="9"/>
      <c r="AS2" s="8"/>
      <c r="AT2" s="17"/>
      <c r="AU2" s="18"/>
      <c r="AV2" s="18"/>
      <c r="AW2" s="18"/>
      <c r="AX2" s="18"/>
      <c r="AY2" s="18"/>
      <c r="AZ2" s="18"/>
      <c r="BA2" s="19"/>
      <c r="BB2" s="18"/>
      <c r="BC2" s="18"/>
      <c r="BD2" s="18"/>
      <c r="BE2" s="18"/>
      <c r="BF2" s="18"/>
      <c r="BG2" s="18"/>
      <c r="BH2" s="19"/>
      <c r="BI2" s="18"/>
      <c r="BJ2" s="18"/>
      <c r="BK2" s="18"/>
      <c r="BL2" s="18"/>
      <c r="BM2" s="18"/>
      <c r="BN2" s="18"/>
      <c r="BO2" s="20"/>
      <c r="BP2" s="19"/>
      <c r="BQ2" s="19"/>
      <c r="BR2" s="19"/>
      <c r="BS2" s="19"/>
      <c r="BT2" s="19"/>
      <c r="BU2" s="19"/>
      <c r="BV2" s="19"/>
      <c r="BW2" s="21"/>
      <c r="BX2" s="9"/>
      <c r="BY2" s="9"/>
      <c r="BZ2" s="9"/>
      <c r="CA2" s="9"/>
      <c r="CB2" s="9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8"/>
    </row>
    <row r="3">
      <c r="A3" s="22"/>
      <c r="B3" s="23"/>
      <c r="C3" s="23"/>
      <c r="D3" s="23"/>
      <c r="E3" s="23"/>
      <c r="F3" s="24"/>
      <c r="G3" s="25"/>
      <c r="H3" s="25"/>
      <c r="I3" s="25"/>
      <c r="J3" s="25"/>
      <c r="K3" s="25"/>
      <c r="L3" s="25"/>
      <c r="M3" s="25"/>
      <c r="N3" s="25"/>
      <c r="O3" s="26"/>
      <c r="P3" s="27" t="s">
        <v>6</v>
      </c>
      <c r="Q3" s="28">
        <v>1.0</v>
      </c>
      <c r="R3" s="29" t="s">
        <v>7</v>
      </c>
      <c r="S3" s="30"/>
      <c r="T3" s="31"/>
      <c r="U3" s="9"/>
      <c r="V3" s="7"/>
      <c r="W3" s="16"/>
      <c r="X3" s="7"/>
      <c r="Y3" s="7"/>
      <c r="Z3" s="16"/>
      <c r="AA3" s="7"/>
      <c r="AB3" s="7"/>
      <c r="AC3" s="32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8"/>
      <c r="AQ3" s="7"/>
      <c r="AR3" s="9"/>
      <c r="AS3" s="8"/>
      <c r="AT3" s="33"/>
      <c r="AU3" s="34" t="s">
        <v>8</v>
      </c>
      <c r="BA3" s="17"/>
      <c r="BB3" s="35" t="s">
        <v>9</v>
      </c>
      <c r="BH3" s="17"/>
      <c r="BI3" s="36" t="s">
        <v>10</v>
      </c>
      <c r="BO3" s="9"/>
      <c r="BP3" s="7"/>
      <c r="BQ3" s="7"/>
      <c r="BR3" s="7"/>
      <c r="BS3" s="7"/>
      <c r="BT3" s="7"/>
      <c r="BU3" s="7"/>
      <c r="BV3" s="7"/>
      <c r="BW3" s="8"/>
      <c r="BX3" s="9"/>
      <c r="BY3" s="9"/>
      <c r="BZ3" s="9"/>
      <c r="CA3" s="9"/>
      <c r="CB3" s="9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8"/>
    </row>
    <row r="4" ht="18.0" customHeight="1">
      <c r="A4" s="7"/>
      <c r="B4" s="7"/>
      <c r="C4" s="8"/>
      <c r="D4" s="37" t="s">
        <v>11</v>
      </c>
      <c r="E4" s="38"/>
      <c r="F4" s="39"/>
      <c r="G4" s="40"/>
      <c r="H4" s="38"/>
      <c r="I4" s="38"/>
      <c r="J4" s="38"/>
      <c r="K4" s="38"/>
      <c r="L4" s="38"/>
      <c r="M4" s="38"/>
      <c r="N4" s="39"/>
      <c r="O4" s="41"/>
      <c r="P4" s="27" t="s">
        <v>12</v>
      </c>
      <c r="Q4" s="28">
        <v>0.7</v>
      </c>
      <c r="R4" s="29" t="s">
        <v>13</v>
      </c>
      <c r="S4" s="30"/>
      <c r="T4" s="31"/>
      <c r="U4" s="9"/>
      <c r="V4" s="7"/>
      <c r="W4" s="16"/>
      <c r="X4" s="7"/>
      <c r="Y4" s="7"/>
      <c r="Z4" s="16"/>
      <c r="AA4" s="7"/>
      <c r="AB4" s="7"/>
      <c r="AC4" s="42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8"/>
      <c r="AQ4" s="7"/>
      <c r="AR4" s="9"/>
      <c r="AS4" s="8"/>
      <c r="AT4" s="9"/>
      <c r="AU4" s="43" t="s">
        <v>14</v>
      </c>
      <c r="AV4" s="14"/>
      <c r="AW4" s="14"/>
      <c r="AX4" s="14"/>
      <c r="AY4" s="14"/>
      <c r="AZ4" s="15"/>
      <c r="BA4" s="33"/>
      <c r="BB4" s="43" t="s">
        <v>15</v>
      </c>
      <c r="BC4" s="14"/>
      <c r="BD4" s="14"/>
      <c r="BE4" s="14"/>
      <c r="BF4" s="14"/>
      <c r="BG4" s="15"/>
      <c r="BH4" s="33"/>
      <c r="BI4" s="43">
        <v>3.0</v>
      </c>
      <c r="BJ4" s="14"/>
      <c r="BK4" s="14"/>
      <c r="BL4" s="14"/>
      <c r="BM4" s="14"/>
      <c r="BN4" s="15"/>
      <c r="BO4" s="7"/>
      <c r="BP4" s="7"/>
      <c r="BQ4" s="7"/>
      <c r="BR4" s="7"/>
      <c r="BS4" s="7"/>
      <c r="BT4" s="7"/>
      <c r="BU4" s="7"/>
      <c r="BV4" s="7"/>
      <c r="BW4" s="8"/>
      <c r="BX4" s="9"/>
      <c r="BY4" s="9"/>
      <c r="BZ4" s="9"/>
      <c r="CA4" s="9"/>
      <c r="CB4" s="9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8"/>
    </row>
    <row r="5" ht="18.0" customHeight="1">
      <c r="A5" s="24"/>
      <c r="B5" s="24"/>
      <c r="C5" s="44"/>
      <c r="D5" s="37" t="s">
        <v>16</v>
      </c>
      <c r="E5" s="38"/>
      <c r="F5" s="39"/>
      <c r="G5" s="40"/>
      <c r="H5" s="38"/>
      <c r="I5" s="38"/>
      <c r="J5" s="38"/>
      <c r="K5" s="38"/>
      <c r="L5" s="38"/>
      <c r="M5" s="38"/>
      <c r="N5" s="39"/>
      <c r="O5" s="41"/>
      <c r="P5" s="27" t="s">
        <v>17</v>
      </c>
      <c r="Q5" s="45">
        <v>0.5</v>
      </c>
      <c r="R5" s="29" t="s">
        <v>18</v>
      </c>
      <c r="S5" s="30"/>
      <c r="T5" s="31"/>
      <c r="U5" s="6"/>
      <c r="V5" s="32"/>
      <c r="W5" s="32"/>
      <c r="X5" s="32"/>
      <c r="Y5" s="7"/>
      <c r="Z5" s="7"/>
      <c r="AA5" s="7"/>
      <c r="AB5" s="7"/>
      <c r="AC5" s="42"/>
      <c r="AD5" s="7"/>
      <c r="AE5" s="7"/>
      <c r="AF5" s="7"/>
      <c r="AG5" s="7"/>
      <c r="AH5" s="16"/>
      <c r="AI5" s="7"/>
      <c r="AJ5" s="7"/>
      <c r="AK5" s="7"/>
      <c r="AL5" s="7"/>
      <c r="AM5" s="7"/>
      <c r="AN5" s="7"/>
      <c r="AO5" s="7"/>
      <c r="AP5" s="8"/>
      <c r="AQ5" s="7"/>
      <c r="AR5" s="9"/>
      <c r="AS5" s="8"/>
      <c r="AT5" s="9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8"/>
      <c r="BX5" s="9"/>
      <c r="BY5" s="9"/>
      <c r="BZ5" s="9"/>
      <c r="CA5" s="9"/>
      <c r="CB5" s="9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8"/>
    </row>
    <row r="6" ht="18.0" customHeight="1">
      <c r="A6" s="7"/>
      <c r="B6" s="7"/>
      <c r="C6" s="8"/>
      <c r="D6" s="46" t="s">
        <v>19</v>
      </c>
      <c r="E6" s="38"/>
      <c r="F6" s="39"/>
      <c r="G6" s="40"/>
      <c r="H6" s="38"/>
      <c r="I6" s="38"/>
      <c r="J6" s="38"/>
      <c r="K6" s="38"/>
      <c r="L6" s="38"/>
      <c r="M6" s="38"/>
      <c r="N6" s="39"/>
      <c r="O6" s="47"/>
      <c r="P6" s="27" t="s">
        <v>20</v>
      </c>
      <c r="Q6" s="45">
        <v>0.0</v>
      </c>
      <c r="R6" s="29" t="s">
        <v>21</v>
      </c>
      <c r="S6" s="30"/>
      <c r="T6" s="31"/>
      <c r="U6" s="6"/>
      <c r="V6" s="32"/>
      <c r="W6" s="32"/>
      <c r="X6" s="32"/>
      <c r="Y6" s="7"/>
      <c r="Z6" s="7"/>
      <c r="AA6" s="7"/>
      <c r="AB6" s="7"/>
      <c r="AC6" s="42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8"/>
      <c r="AQ6" s="7"/>
      <c r="AR6" s="9"/>
      <c r="AS6" s="8"/>
      <c r="AT6" s="9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8"/>
      <c r="BX6" s="9"/>
      <c r="BY6" s="9"/>
      <c r="BZ6" s="9"/>
      <c r="CA6" s="9"/>
      <c r="CB6" s="9"/>
      <c r="CC6" s="7"/>
      <c r="CD6" s="7"/>
      <c r="CE6" s="7"/>
      <c r="CF6" s="7"/>
      <c r="CG6" s="7"/>
      <c r="CH6" s="7"/>
      <c r="CI6" s="7"/>
      <c r="CJ6" s="7"/>
      <c r="CK6" s="7"/>
      <c r="CL6" s="7"/>
      <c r="CM6" s="16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8"/>
    </row>
    <row r="7" ht="18.0" customHeight="1">
      <c r="A7" s="7"/>
      <c r="B7" s="7"/>
      <c r="C7" s="7"/>
      <c r="D7" s="19"/>
      <c r="E7" s="19"/>
      <c r="F7" s="19"/>
      <c r="G7" s="19"/>
      <c r="H7" s="48"/>
      <c r="I7" s="48"/>
      <c r="J7" s="48"/>
      <c r="K7" s="48"/>
      <c r="L7" s="48"/>
      <c r="M7" s="48"/>
      <c r="N7" s="48"/>
      <c r="O7" s="32"/>
      <c r="P7" s="19"/>
      <c r="Q7" s="19"/>
      <c r="R7" s="19"/>
      <c r="S7" s="19"/>
      <c r="T7" s="19"/>
      <c r="U7" s="32"/>
      <c r="V7" s="32"/>
      <c r="W7" s="32"/>
      <c r="X7" s="32"/>
      <c r="Y7" s="7"/>
      <c r="Z7" s="7"/>
      <c r="AA7" s="7"/>
      <c r="AB7" s="7"/>
      <c r="AC7" s="42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8"/>
      <c r="AQ7" s="7"/>
      <c r="AR7" s="9"/>
      <c r="AS7" s="8"/>
      <c r="AT7" s="9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8"/>
      <c r="BX7" s="9"/>
      <c r="BY7" s="9"/>
      <c r="BZ7" s="9"/>
      <c r="CA7" s="9"/>
      <c r="CB7" s="9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8"/>
    </row>
    <row r="8" ht="18.0" customHeight="1">
      <c r="A8" s="48"/>
      <c r="B8" s="48"/>
      <c r="C8" s="48"/>
      <c r="D8" s="48"/>
      <c r="E8" s="48"/>
      <c r="F8" s="48"/>
      <c r="G8" s="48"/>
      <c r="H8" s="32"/>
      <c r="I8" s="32"/>
      <c r="J8" s="32"/>
      <c r="K8" s="32"/>
      <c r="L8" s="32"/>
      <c r="M8" s="32"/>
      <c r="N8" s="32"/>
      <c r="O8" s="32"/>
      <c r="P8" s="7"/>
      <c r="Q8" s="7"/>
      <c r="R8" s="7"/>
      <c r="S8" s="7"/>
      <c r="T8" s="7"/>
      <c r="U8" s="32"/>
      <c r="V8" s="32"/>
      <c r="W8" s="32"/>
      <c r="X8" s="32"/>
      <c r="Y8" s="7"/>
      <c r="Z8" s="7"/>
      <c r="AA8" s="7"/>
      <c r="AB8" s="7"/>
      <c r="AC8" s="42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8"/>
      <c r="AQ8" s="7"/>
      <c r="AR8" s="9"/>
      <c r="AS8" s="8"/>
      <c r="AT8" s="9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8"/>
      <c r="BX8" s="9"/>
      <c r="BY8" s="9"/>
      <c r="BZ8" s="9"/>
      <c r="CA8" s="9"/>
      <c r="CB8" s="9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8"/>
    </row>
    <row r="9">
      <c r="A9" s="49" t="s">
        <v>22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1"/>
      <c r="AR9" s="9"/>
      <c r="AS9" s="8"/>
      <c r="AT9" s="52" t="str">
        <f>"Análises "&amp;A9</f>
        <v>Análises Habilidade de curto prazo</v>
      </c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9"/>
      <c r="BY9" s="9"/>
      <c r="BZ9" s="9"/>
      <c r="CA9" s="9"/>
      <c r="CB9" s="54" t="s">
        <v>23</v>
      </c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4" t="s">
        <v>24</v>
      </c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7"/>
      <c r="CY9" s="7"/>
      <c r="CZ9" s="7"/>
      <c r="DA9" s="8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</row>
    <row r="10">
      <c r="A10" s="56"/>
      <c r="B10" s="57" t="s">
        <v>25</v>
      </c>
      <c r="C10" s="30"/>
      <c r="D10" s="30"/>
      <c r="E10" s="31"/>
      <c r="F10" s="57" t="s">
        <v>26</v>
      </c>
      <c r="G10" s="30"/>
      <c r="H10" s="30"/>
      <c r="I10" s="31"/>
      <c r="J10" s="57" t="s">
        <v>27</v>
      </c>
      <c r="K10" s="30"/>
      <c r="L10" s="30"/>
      <c r="M10" s="31"/>
      <c r="N10" s="57" t="s">
        <v>15</v>
      </c>
      <c r="O10" s="30"/>
      <c r="P10" s="30"/>
      <c r="Q10" s="31"/>
      <c r="R10" s="57" t="s">
        <v>28</v>
      </c>
      <c r="S10" s="30"/>
      <c r="T10" s="30"/>
      <c r="U10" s="31"/>
      <c r="V10" s="57"/>
      <c r="W10" s="30"/>
      <c r="X10" s="30"/>
      <c r="Y10" s="31"/>
      <c r="Z10" s="57"/>
      <c r="AA10" s="30"/>
      <c r="AB10" s="30"/>
      <c r="AC10" s="31"/>
      <c r="AD10" s="57"/>
      <c r="AE10" s="30"/>
      <c r="AF10" s="30"/>
      <c r="AG10" s="31"/>
      <c r="AH10" s="57"/>
      <c r="AI10" s="30"/>
      <c r="AJ10" s="30"/>
      <c r="AK10" s="31"/>
      <c r="AL10" s="57"/>
      <c r="AM10" s="30"/>
      <c r="AN10" s="30"/>
      <c r="AO10" s="31"/>
      <c r="AP10" s="58" t="s">
        <v>29</v>
      </c>
      <c r="AQ10" s="59" t="s">
        <v>30</v>
      </c>
      <c r="AR10" s="9"/>
      <c r="AS10" s="8"/>
      <c r="AT10" s="60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9"/>
      <c r="BY10" s="9"/>
      <c r="BZ10" s="9"/>
      <c r="CA10" s="9"/>
      <c r="CB10" s="62"/>
      <c r="CM10" s="63" t="s">
        <v>31</v>
      </c>
      <c r="CN10" s="63" t="str">
        <f t="shared" ref="CN10:CW10" si="1">IF(XLOOKUP("Sim",CN13:CN500,CN13:CN500,,0)="Sim","Recurso Adquirido","Não Adquirido")</f>
        <v>Recurso Adquirido</v>
      </c>
      <c r="CO10" s="63" t="str">
        <f t="shared" si="1"/>
        <v>Não Adquirido</v>
      </c>
      <c r="CP10" s="63" t="str">
        <f t="shared" si="1"/>
        <v>Não Adquirido</v>
      </c>
      <c r="CQ10" s="63" t="str">
        <f t="shared" si="1"/>
        <v>Recurso Adquirido</v>
      </c>
      <c r="CR10" s="63" t="str">
        <f t="shared" si="1"/>
        <v>Recurso Adquirido</v>
      </c>
      <c r="CS10" s="63" t="str">
        <f t="shared" si="1"/>
        <v>Não Adquirido</v>
      </c>
      <c r="CT10" s="63" t="str">
        <f t="shared" si="1"/>
        <v>Não Adquirido</v>
      </c>
      <c r="CU10" s="63" t="str">
        <f t="shared" si="1"/>
        <v>Não Adquirido</v>
      </c>
      <c r="CV10" s="63" t="str">
        <f t="shared" si="1"/>
        <v>Não Adquirido</v>
      </c>
      <c r="CW10" s="63" t="str">
        <f t="shared" si="1"/>
        <v>Não Adquirido</v>
      </c>
      <c r="CX10" s="7"/>
      <c r="CY10" s="7"/>
      <c r="CZ10" s="7"/>
      <c r="DA10" s="8"/>
      <c r="DB10" s="34" t="s">
        <v>32</v>
      </c>
      <c r="DU10" s="34"/>
      <c r="DV10" s="34"/>
      <c r="DW10" s="34"/>
    </row>
    <row r="11" outlineLevel="1">
      <c r="A11" s="64" t="s">
        <v>33</v>
      </c>
      <c r="B11" s="65"/>
      <c r="C11" s="66"/>
      <c r="D11" s="66"/>
      <c r="E11" s="67"/>
      <c r="F11" s="66"/>
      <c r="G11" s="66"/>
      <c r="H11" s="66"/>
      <c r="I11" s="67"/>
      <c r="J11" s="66"/>
      <c r="K11" s="66"/>
      <c r="L11" s="66"/>
      <c r="M11" s="67"/>
      <c r="N11" s="66"/>
      <c r="O11" s="66"/>
      <c r="P11" s="66"/>
      <c r="Q11" s="67"/>
      <c r="R11" s="66"/>
      <c r="S11" s="66"/>
      <c r="T11" s="66"/>
      <c r="U11" s="67"/>
      <c r="V11" s="66"/>
      <c r="W11" s="66"/>
      <c r="X11" s="66"/>
      <c r="Y11" s="67"/>
      <c r="Z11" s="66"/>
      <c r="AA11" s="66"/>
      <c r="AB11" s="66"/>
      <c r="AC11" s="67"/>
      <c r="AD11" s="66"/>
      <c r="AE11" s="66"/>
      <c r="AF11" s="66"/>
      <c r="AG11" s="67"/>
      <c r="AH11" s="66"/>
      <c r="AI11" s="66"/>
      <c r="AJ11" s="66"/>
      <c r="AK11" s="67"/>
      <c r="AL11" s="66"/>
      <c r="AM11" s="66"/>
      <c r="AN11" s="66"/>
      <c r="AO11" s="66"/>
      <c r="AP11" s="68"/>
      <c r="AQ11" s="69">
        <f>IFERROR(AVERAGE(AP:AP),0)</f>
        <v>0.8473888889</v>
      </c>
      <c r="AR11" s="9"/>
      <c r="AS11" s="8"/>
      <c r="AT11" s="9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8"/>
      <c r="BX11" s="9"/>
      <c r="BY11" s="9"/>
      <c r="BZ11" s="9"/>
      <c r="CA11" s="9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"/>
      <c r="CY11" s="7"/>
      <c r="CZ11" s="7"/>
      <c r="DA11" s="8"/>
      <c r="DU11" s="72" t="s">
        <v>34</v>
      </c>
    </row>
    <row r="12">
      <c r="A12" s="73" t="s">
        <v>31</v>
      </c>
      <c r="B12" s="43" t="str">
        <f>$P$3</f>
        <v>A</v>
      </c>
      <c r="C12" s="74" t="str">
        <f>$P$4</f>
        <v>B+</v>
      </c>
      <c r="D12" s="74" t="str">
        <f>$P$5</f>
        <v>B-</v>
      </c>
      <c r="E12" s="75" t="str">
        <f>$P$6</f>
        <v>C</v>
      </c>
      <c r="F12" s="43" t="str">
        <f>$P$3</f>
        <v>A</v>
      </c>
      <c r="G12" s="74" t="str">
        <f>$P$4</f>
        <v>B+</v>
      </c>
      <c r="H12" s="74" t="str">
        <f>$P$5</f>
        <v>B-</v>
      </c>
      <c r="I12" s="75" t="str">
        <f>$P$6</f>
        <v>C</v>
      </c>
      <c r="J12" s="43" t="str">
        <f>$P$3</f>
        <v>A</v>
      </c>
      <c r="K12" s="74" t="str">
        <f>$P$4</f>
        <v>B+</v>
      </c>
      <c r="L12" s="74" t="str">
        <f>$P$5</f>
        <v>B-</v>
      </c>
      <c r="M12" s="75" t="str">
        <f>$P$6</f>
        <v>C</v>
      </c>
      <c r="N12" s="43" t="str">
        <f>$P$3</f>
        <v>A</v>
      </c>
      <c r="O12" s="74" t="str">
        <f>$P$4</f>
        <v>B+</v>
      </c>
      <c r="P12" s="74" t="str">
        <f>$P$5</f>
        <v>B-</v>
      </c>
      <c r="Q12" s="75" t="str">
        <f>$P$6</f>
        <v>C</v>
      </c>
      <c r="R12" s="43" t="str">
        <f>$P$3</f>
        <v>A</v>
      </c>
      <c r="S12" s="74" t="str">
        <f>$P$4</f>
        <v>B+</v>
      </c>
      <c r="T12" s="74" t="str">
        <f>$P$5</f>
        <v>B-</v>
      </c>
      <c r="U12" s="75" t="str">
        <f>$P$6</f>
        <v>C</v>
      </c>
      <c r="V12" s="43" t="str">
        <f>$P$3</f>
        <v>A</v>
      </c>
      <c r="W12" s="74" t="str">
        <f>$P$4</f>
        <v>B+</v>
      </c>
      <c r="X12" s="74" t="str">
        <f>$P$5</f>
        <v>B-</v>
      </c>
      <c r="Y12" s="75" t="str">
        <f>$P$6</f>
        <v>C</v>
      </c>
      <c r="Z12" s="43" t="str">
        <f>$P$3</f>
        <v>A</v>
      </c>
      <c r="AA12" s="74" t="str">
        <f>$P$4</f>
        <v>B+</v>
      </c>
      <c r="AB12" s="74" t="str">
        <f>$P$5</f>
        <v>B-</v>
      </c>
      <c r="AC12" s="75" t="str">
        <f>$P$6</f>
        <v>C</v>
      </c>
      <c r="AD12" s="43" t="str">
        <f>$P$3</f>
        <v>A</v>
      </c>
      <c r="AE12" s="74" t="str">
        <f>$P$4</f>
        <v>B+</v>
      </c>
      <c r="AF12" s="74" t="str">
        <f>$P$5</f>
        <v>B-</v>
      </c>
      <c r="AG12" s="75" t="str">
        <f>$P$6</f>
        <v>C</v>
      </c>
      <c r="AH12" s="43" t="str">
        <f>$P$3</f>
        <v>A</v>
      </c>
      <c r="AI12" s="74" t="str">
        <f>$P$4</f>
        <v>B+</v>
      </c>
      <c r="AJ12" s="74" t="str">
        <f>$P$5</f>
        <v>B-</v>
      </c>
      <c r="AK12" s="75" t="str">
        <f>$P$6</f>
        <v>C</v>
      </c>
      <c r="AL12" s="43" t="str">
        <f>$P$3</f>
        <v>A</v>
      </c>
      <c r="AM12" s="74" t="str">
        <f>$P$4</f>
        <v>B+</v>
      </c>
      <c r="AN12" s="74" t="str">
        <f>$P$5</f>
        <v>B-</v>
      </c>
      <c r="AO12" s="75" t="str">
        <f>$P$6</f>
        <v>C</v>
      </c>
      <c r="AP12" s="68"/>
      <c r="AR12" s="76"/>
      <c r="AS12" s="77"/>
      <c r="AT12" s="76"/>
      <c r="AU12" s="16"/>
      <c r="AV12" s="7"/>
      <c r="AW12" s="7"/>
      <c r="AX12" s="7"/>
      <c r="AY12" s="7"/>
      <c r="AZ12" s="7"/>
      <c r="BA12" s="7"/>
      <c r="BB12" s="16"/>
      <c r="BC12" s="16"/>
      <c r="BD12" s="16"/>
      <c r="BE12" s="16"/>
      <c r="BF12" s="7"/>
      <c r="BG12" s="7"/>
      <c r="BH12" s="7"/>
      <c r="BI12" s="7"/>
      <c r="BJ12" s="7"/>
      <c r="BK12" s="7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77"/>
      <c r="BX12" s="9"/>
      <c r="BY12" s="9"/>
      <c r="BZ12" s="9"/>
      <c r="CA12" s="33"/>
      <c r="CB12" s="63" t="s">
        <v>31</v>
      </c>
      <c r="CC12" s="63" t="str">
        <f>$B$10</f>
        <v>Vinculo Emocional</v>
      </c>
      <c r="CD12" s="63" t="str">
        <f>$F$10</f>
        <v>Contato Visual</v>
      </c>
      <c r="CE12" s="63" t="str">
        <f>$J$10</f>
        <v>Permanecer sentado na cadeira</v>
      </c>
      <c r="CF12" s="63" t="str">
        <f>$N$10</f>
        <v>Esperar</v>
      </c>
      <c r="CG12" s="63" t="str">
        <f>$R$10</f>
        <v>Seguir instruções de um passo</v>
      </c>
      <c r="CH12" s="63" t="str">
        <f>$V$10</f>
        <v/>
      </c>
      <c r="CI12" s="63" t="str">
        <f>$Z$10</f>
        <v/>
      </c>
      <c r="CJ12" s="63" t="str">
        <f>$AD$10</f>
        <v/>
      </c>
      <c r="CK12" s="63" t="str">
        <f>$AH$10</f>
        <v/>
      </c>
      <c r="CL12" s="63" t="str">
        <f>$AL$10</f>
        <v/>
      </c>
      <c r="CM12" s="62"/>
      <c r="CN12" s="62" t="str">
        <f>$B$10</f>
        <v>Vinculo Emocional</v>
      </c>
      <c r="CO12" s="62" t="str">
        <f>$F$10</f>
        <v>Contato Visual</v>
      </c>
      <c r="CP12" s="62" t="str">
        <f>$J$10</f>
        <v>Permanecer sentado na cadeira</v>
      </c>
      <c r="CQ12" s="62" t="str">
        <f>$N$10</f>
        <v>Esperar</v>
      </c>
      <c r="CR12" s="62" t="str">
        <f>$R$10</f>
        <v>Seguir instruções de um passo</v>
      </c>
      <c r="CS12" s="62" t="str">
        <f>$V$10</f>
        <v/>
      </c>
      <c r="CT12" s="62" t="str">
        <f>$Z$10</f>
        <v/>
      </c>
      <c r="CU12" s="62" t="str">
        <f>$AD$10</f>
        <v/>
      </c>
      <c r="CV12" s="62" t="str">
        <f>$AH$10</f>
        <v/>
      </c>
      <c r="CW12" s="62" t="str">
        <f>$AL$10</f>
        <v/>
      </c>
      <c r="CX12" s="16"/>
      <c r="CY12" s="16"/>
      <c r="CZ12" s="16"/>
      <c r="DA12" s="77"/>
      <c r="DU12" s="73" t="s">
        <v>35</v>
      </c>
      <c r="DV12" s="73" t="s">
        <v>36</v>
      </c>
      <c r="DW12" s="73" t="s">
        <v>37</v>
      </c>
    </row>
    <row r="13">
      <c r="A13" s="78">
        <v>45658.0</v>
      </c>
      <c r="B13" s="79"/>
      <c r="C13" s="80"/>
      <c r="D13" s="80"/>
      <c r="E13" s="81"/>
      <c r="F13" s="80">
        <v>1.0</v>
      </c>
      <c r="G13" s="80">
        <v>3.0</v>
      </c>
      <c r="H13" s="80"/>
      <c r="I13" s="81"/>
      <c r="J13" s="80"/>
      <c r="K13" s="80">
        <v>2.0</v>
      </c>
      <c r="L13" s="80">
        <v>1.0</v>
      </c>
      <c r="M13" s="81"/>
      <c r="N13" s="80">
        <v>1.0</v>
      </c>
      <c r="O13" s="82"/>
      <c r="P13" s="82"/>
      <c r="Q13" s="81"/>
      <c r="R13" s="80"/>
      <c r="S13" s="82"/>
      <c r="T13" s="82"/>
      <c r="U13" s="81"/>
      <c r="V13" s="80"/>
      <c r="W13" s="82"/>
      <c r="X13" s="82"/>
      <c r="Y13" s="81"/>
      <c r="Z13" s="80"/>
      <c r="AA13" s="82"/>
      <c r="AB13" s="82"/>
      <c r="AC13" s="81"/>
      <c r="AD13" s="80"/>
      <c r="AE13" s="82"/>
      <c r="AF13" s="82"/>
      <c r="AG13" s="83"/>
      <c r="AH13" s="80"/>
      <c r="AI13" s="82"/>
      <c r="AJ13" s="82"/>
      <c r="AK13" s="81"/>
      <c r="AL13" s="80"/>
      <c r="AM13" s="80"/>
      <c r="AN13" s="80"/>
      <c r="AO13" s="80"/>
      <c r="AP13" s="84">
        <f t="shared" ref="AP13:AP500" si="2">IFERROR(AVERAGE(CC13,CD13,CE13,CF13,CG13,CH13,CI13,CJ13,CK13,CL13),"")</f>
        <v>0.8027777778</v>
      </c>
      <c r="AQ13" s="20"/>
      <c r="AR13" s="9"/>
      <c r="AS13" s="8"/>
      <c r="AT13" s="9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8"/>
      <c r="BX13" s="9"/>
      <c r="BY13" s="9"/>
      <c r="BZ13" s="9"/>
      <c r="CA13" s="33"/>
      <c r="CB13" s="85">
        <f t="shared" ref="CB13:CB500" si="3">A13</f>
        <v>45658</v>
      </c>
      <c r="CC13" s="86" t="str">
        <f t="shared" ref="CC13:CC500" si="4">IFERROR(((B13*(IF(B$11="",INDEX($P$3:$Q$6,MATCH($B$12,$P$3:$P$6,0),2),B$11)))+(C13*(IF(C$11="",INDEX($P$3:$Q$6,MATCH($C$12,$P$3:$P$6,0),2),C$11)))+(D13*IF(D$11="",INDEX($P$3:$Q$6,MATCH($D$12,$P$3:$P$6,0),2),D$11))+(E13*IF(E$11="",INDEX($P$3:$Q$6,MATCH($E$12,$P$3:$P$6,0),2),E$11)))/SUM(B13:E13),"")</f>
        <v/>
      </c>
      <c r="CD13" s="86">
        <f t="shared" ref="CD13:CD500" si="5">IFERROR(((F13*(IF(F$11="",INDEX($P$3:$Q$6,MATCH($B$12,$P$3:$P$6,0),2),F$11)))+(G13*(IF(G$11="",INDEX($P$3:$Q$6,MATCH($C$12,$P$3:$P$6,0),2),G$11)))+(H13*IF(H$11="",INDEX($P$3:$Q$6,MATCH($D$12,$P$3:$P$6,0),2),H$11))+(I13*IF(I$11="",INDEX($P$3:$Q$6,MATCH($E$12,$P$3:$P$6,0),2),I$11)))/SUM(F13:I13),"")</f>
        <v>0.775</v>
      </c>
      <c r="CE13" s="86">
        <f t="shared" ref="CE13:CE500" si="6">IFERROR(((J13*(IF(J$11="",INDEX($P$3:$Q$6,MATCH($B$12,$P$3:$P$6,0),2),J$11)))+(K13*(IF(K$11="",INDEX($P$3:$Q$6,MATCH($C$12,$P$3:$P$6,0),2),K$11)))+(L13*IF(L$11="",INDEX($P$3:$Q$6,MATCH($D$12,$P$3:$P$6,0),2),L$11))+(M13*IF(M$11="",INDEX($P$3:$Q$6,MATCH($E$12,$P$3:$P$6,0),2),M$11)))/SUM(J13:M13),"")</f>
        <v>0.6333333333</v>
      </c>
      <c r="CF13" s="86">
        <f t="shared" ref="CF13:CF500" si="7">IFERROR(((N13*(IF(N$11="",INDEX($P$3:$Q$6,MATCH($B$12,$P$3:$P$6,0),2),N$11)))+(O13*(IF(O$11="",INDEX($P$3:$Q$6,MATCH($C$12,$P$3:$P$6,0),2),O$11)))+(P13*IF(P$11="",INDEX($P$3:$Q$6,MATCH($D$12,$P$3:$P$6,0),2),P$11))+(Q13*IF(Q$11="",INDEX($P$3:$Q$6,MATCH($E$12,$P$3:$P$6,0),2),Q$11)))/SUM(N13:Q13),"")</f>
        <v>1</v>
      </c>
      <c r="CG13" s="86" t="str">
        <f t="shared" ref="CG13:CG500" si="8">IFERROR(((R13*(IF(R$11="",INDEX($P$3:$Q$6,MATCH($B$12,$P$3:$P$6,0),2),R$11)))+(S13*(IF(S$11="",INDEX($P$3:$Q$6,MATCH($C$12,$P$3:$P$6,0),2),S$11)))+(T13*IF(T$11="",INDEX($P$3:$Q$6,MATCH($D$12,$P$3:$P$6,0),2),T$11))+(U13*IF(U$11="",INDEX($P$3:$Q$6,MATCH($E$12,$P$3:$P$6,0),2),U$11)))/SUM(R13:U13),"")</f>
        <v/>
      </c>
      <c r="CH13" s="86" t="str">
        <f t="shared" ref="CH13:CH500" si="9">IFERROR(((V13*(IF(V$11="",INDEX($P$3:$Q$6,MATCH($B$12,$P$3:$P$6,0),2),V$11)))+(W13*(IF(W$11="",INDEX($P$3:$Q$6,MATCH($C$12,$P$3:$P$6,0),2),W$11)))+(X13*IF(X$11="",INDEX($P$3:$Q$6,MATCH($D$12,$P$3:$P$6,0),2),X$11))+(Y13*IF(Y$11="",INDEX($P$3:$Q$6,MATCH($E$12,$P$3:$P$6,0),2),Y$11)))/SUM(V13:Y13),"")</f>
        <v/>
      </c>
      <c r="CI13" s="86" t="str">
        <f t="shared" ref="CI13:CI500" si="10">IFERROR(((Z13*(IF(Z$11="",INDEX($P$3:$Q$6,MATCH($B$12,$P$3:$P$6,0),2),Z$11)))+(AA13*(IF(AA$11="",INDEX($P$3:$Q$6,MATCH($C$12,$P$3:$P$6,0),2),AA$11)))+(AB13*IF(AB$11="",INDEX($P$3:$Q$6,MATCH($D$12,$P$3:$P$6,0),2),AB$11))+(AC13*IF(AC$11="",INDEX($P$3:$Q$6,MATCH($E$12,$P$3:$P$6,0),2),AC$11)))/SUM(Z13:AC13),"")</f>
        <v/>
      </c>
      <c r="CJ13" s="86" t="str">
        <f t="shared" ref="CJ13:CJ500" si="11">IFERROR(((AD13*(IF(AD$11="",INDEX($P$3:$Q$6,MATCH($B$12,$P$3:$P$6,0),2),AD$11)))+(AE13*(IF(AE$11="",INDEX($P$3:$Q$6,MATCH($C$12,$P$3:$P$6,0),2),AE$11)))+(AF13*IF(AF$11="",INDEX($P$3:$Q$6,MATCH($D$12,$P$3:$P$6,0),2),AF$11))+(AG13*IF(AG$11="",INDEX($P$3:$Q$6,MATCH($E$12,$P$3:$P$6,0),2),L$11)))/SUM(AD13:AG13),"")</f>
        <v/>
      </c>
      <c r="CK13" s="86" t="str">
        <f t="shared" ref="CK13:CK500" si="12">IFERROR(((AH13*(IF(AH$11="",INDEX($P$3:$Q$6,MATCH($B$12,$P$3:$P$6,0),2),AH$11)))+(AI13*(IF(AI$11="",INDEX($P$3:$Q$6,MATCH($C$12,$P$3:$P$6,0),2),AI$11)))+(AJ13*IF(AJ$11="",INDEX($P$3:$Q$6,MATCH($D$12,$P$3:$P$6,0),2),AJ$11))+(AK13*IF(AK$11="",INDEX($P$3:$Q$6,MATCH($E$12,$P$3:$P$6,0),2),AK$11)))/SUM(AH13:AK13),"")</f>
        <v/>
      </c>
      <c r="CL13" s="86" t="str">
        <f t="shared" ref="CL13:CL500" si="13">IFERROR(((AL13*(IF(AL$11="",INDEX($P$3:$Q$6,MATCH($B$12,$P$3:$P$6,0),2),AL$11)))+(AM13*(IF(AM$11="",INDEX($P$3:$Q$6,MATCH($C$12,$P$3:$P$6,0),2),AM$11)))+(AN13*IF(AN$11="",INDEX($P$3:$Q$6,MATCH($D$12,$P$3:$P$6,0),2),AN$11))+(AO13*IF(AO$11="",INDEX($P$3:$Q$6,MATCH($E$12,$P$3:$P$6,0),2),AO$11)))/SUM(AL13:AO13),"")</f>
        <v/>
      </c>
      <c r="CM13" s="87">
        <f t="shared" ref="CM13:CM500" si="14">A13</f>
        <v>45658</v>
      </c>
      <c r="CN13" s="88" t="str">
        <f t="array" ref="CN13">IF(AND(SUM(INDIRECT("CC"&amp;ROW(CC14) - $BI$4&amp;":CC" &amp; ROW(CC13)))=$BI$4,$CM13&lt;&gt;""),"Sim","")
</f>
        <v/>
      </c>
      <c r="CO13" s="88" t="str">
        <f t="shared" ref="CO13:CO500" si="15">IF(AND(SUM(INDIRECT("CD"&amp;ROW(CD14) - $BI$4&amp;":CD" &amp; ROW(CD13)))=$BI$4,$CM13&lt;&gt;""),"Sim","")
</f>
        <v/>
      </c>
      <c r="CP13" s="88" t="str">
        <f t="shared" ref="CP13:CP500" si="16">IF(AND(SUM(INDIRECT("CE"&amp;ROW(CE14) - $BI$4&amp;":CE" &amp; ROW(CE13)))=$BI$4,$CM13&lt;&gt;""),"Sim","")
</f>
        <v/>
      </c>
      <c r="CQ13" s="88" t="str">
        <f t="shared" ref="CQ13:CQ500" si="17">IF(AND(SUM(INDIRECT("CF"&amp;ROW(CF14) - $BI$4&amp;":CF" &amp; ROW(CF13)))=$BI$4,$CM13&lt;&gt;""),"Sim","")
</f>
        <v/>
      </c>
      <c r="CR13" s="88" t="str">
        <f t="shared" ref="CR13:CR500" si="18">IF(AND(SUM(INDIRECT("CG"&amp;ROW(CG14) - $BI$4&amp;":CG" &amp; ROW(CG13)))=$BI$4,$CM13&lt;&gt;""),"Sim","")
</f>
        <v/>
      </c>
      <c r="CS13" s="88" t="str">
        <f t="shared" ref="CS13:CS500" si="19">IF(AND(SUM(INDIRECT("CH"&amp;ROW(CH14) - $BI$4&amp;":CH" &amp; ROW(CH13)))=$BI$4,$CM13&lt;&gt;""),"Sim","")
</f>
        <v/>
      </c>
      <c r="CT13" s="88" t="str">
        <f t="shared" ref="CT13:CT500" si="20">IF(AND(SUM(INDIRECT("CI"&amp;ROW(CI14) - $BI$4&amp;":CI" &amp; ROW(CI13)))=$BI$4,$CM13&lt;&gt;""),"Sim","")
</f>
        <v/>
      </c>
      <c r="CU13" s="88" t="str">
        <f t="shared" ref="CU13:CU500" si="21">IF(AND(SUM(INDIRECT("CJ"&amp;ROW(CJ14) - $BI$4&amp;":CJ" &amp; ROW(CJ13)))=$BI$4,$CM13&lt;&gt;""),"Sim","")
</f>
        <v/>
      </c>
      <c r="CV13" s="88" t="str">
        <f t="shared" ref="CV13:CV500" si="22">IF(AND(SUM(INDIRECT("CK"&amp;ROW(CK14) - $BI$4&amp;":CK" &amp; ROW(CK13)))=$BI$4,$CM13&lt;&gt;""),"Sim","")
</f>
        <v/>
      </c>
      <c r="CW13" s="88" t="str">
        <f t="shared" ref="CW13:CW500" si="23">IF(AND(SUM(INDIRECT("CL"&amp;ROW(CL14) - $BI$4&amp;":CL" &amp; ROW(CL13)))=$BI$4,$CM13&lt;&gt;""),"Sim","")
</f>
        <v/>
      </c>
      <c r="CX13" s="7"/>
      <c r="CY13" s="7"/>
      <c r="CZ13" s="7"/>
      <c r="DA13" s="8"/>
      <c r="DB13" s="89" t="str">
        <f>IF(DD13&lt;&gt;"","Jan.","")</f>
        <v>Jan.</v>
      </c>
      <c r="DC13" s="90">
        <v>1.0</v>
      </c>
      <c r="DD13" s="91">
        <f>IFERROR(__xludf.DUMMYFUNCTION("IFERROR(AVERAGE(FILTER(INDIRECT(ADDRESS(13, (MATCH($BB$4, $12:$12, 0))) &amp; "":"" &amp; ADDRESS(1000, (MATCH($BB$4, $12:$12, 0)))), $DW$13:$DW$500 = DC13,$A$13:$A$500 &gt;= $DQ$25,$A$13:$A$500 &lt;= $DQ$26)),"""")
"),1.0)</f>
        <v>1</v>
      </c>
      <c r="DF13" s="89" t="s">
        <v>38</v>
      </c>
      <c r="DG13" s="89" t="s">
        <v>30</v>
      </c>
      <c r="DI13" s="89" t="s">
        <v>39</v>
      </c>
      <c r="DJ13" s="89" t="s">
        <v>40</v>
      </c>
      <c r="DK13" s="89" t="s">
        <v>41</v>
      </c>
      <c r="DM13" s="89" t="s">
        <v>38</v>
      </c>
      <c r="DN13" s="89" t="s">
        <v>30</v>
      </c>
      <c r="DP13" s="89" t="s">
        <v>14</v>
      </c>
      <c r="DQ13" s="92">
        <v>2.0</v>
      </c>
      <c r="DU13" s="93">
        <f t="shared" ref="DU13:DU500" si="24">A13</f>
        <v>45658</v>
      </c>
      <c r="DV13" s="93">
        <f>ABA!$A13</f>
        <v>45658</v>
      </c>
      <c r="DW13" s="82">
        <f t="shared" ref="DW13:DW500" si="25">IF(DV13&lt;&gt;"",MONTH(DV13),"")</f>
        <v>1</v>
      </c>
    </row>
    <row r="14">
      <c r="A14" s="94">
        <v>45689.0</v>
      </c>
      <c r="B14" s="95">
        <v>1.0</v>
      </c>
      <c r="C14" s="96"/>
      <c r="D14" s="96"/>
      <c r="E14" s="97"/>
      <c r="F14" s="96"/>
      <c r="G14" s="96">
        <v>4.0</v>
      </c>
      <c r="H14" s="96"/>
      <c r="I14" s="97"/>
      <c r="J14" s="96">
        <v>4.0</v>
      </c>
      <c r="K14" s="96"/>
      <c r="L14" s="96">
        <v>1.0</v>
      </c>
      <c r="M14" s="97"/>
      <c r="N14" s="96">
        <v>1.0</v>
      </c>
      <c r="O14" s="98"/>
      <c r="P14" s="98"/>
      <c r="Q14" s="97"/>
      <c r="R14" s="96">
        <v>1.0</v>
      </c>
      <c r="S14" s="98"/>
      <c r="T14" s="98"/>
      <c r="U14" s="99"/>
      <c r="V14" s="96"/>
      <c r="W14" s="98"/>
      <c r="X14" s="98"/>
      <c r="Y14" s="100"/>
      <c r="Z14" s="96"/>
      <c r="AA14" s="98"/>
      <c r="AB14" s="98"/>
      <c r="AC14" s="99"/>
      <c r="AD14" s="96"/>
      <c r="AE14" s="98"/>
      <c r="AF14" s="98"/>
      <c r="AG14" s="99"/>
      <c r="AH14" s="96"/>
      <c r="AI14" s="98"/>
      <c r="AJ14" s="98"/>
      <c r="AK14" s="99"/>
      <c r="AL14" s="96"/>
      <c r="AM14" s="98"/>
      <c r="AN14" s="98"/>
      <c r="AO14" s="98"/>
      <c r="AP14" s="84">
        <f t="shared" si="2"/>
        <v>0.92</v>
      </c>
      <c r="AQ14" s="9"/>
      <c r="AR14" s="9"/>
      <c r="AS14" s="8"/>
      <c r="AT14" s="9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8"/>
      <c r="BX14" s="9"/>
      <c r="BY14" s="9"/>
      <c r="BZ14" s="9"/>
      <c r="CA14" s="33"/>
      <c r="CB14" s="85">
        <f t="shared" si="3"/>
        <v>45689</v>
      </c>
      <c r="CC14" s="86">
        <f t="shared" si="4"/>
        <v>1</v>
      </c>
      <c r="CD14" s="86">
        <f t="shared" si="5"/>
        <v>0.7</v>
      </c>
      <c r="CE14" s="86">
        <f t="shared" si="6"/>
        <v>0.9</v>
      </c>
      <c r="CF14" s="86">
        <f t="shared" si="7"/>
        <v>1</v>
      </c>
      <c r="CG14" s="86">
        <f t="shared" si="8"/>
        <v>1</v>
      </c>
      <c r="CH14" s="86" t="str">
        <f t="shared" si="9"/>
        <v/>
      </c>
      <c r="CI14" s="86" t="str">
        <f t="shared" si="10"/>
        <v/>
      </c>
      <c r="CJ14" s="86" t="str">
        <f t="shared" si="11"/>
        <v/>
      </c>
      <c r="CK14" s="86" t="str">
        <f t="shared" si="12"/>
        <v/>
      </c>
      <c r="CL14" s="86" t="str">
        <f t="shared" si="13"/>
        <v/>
      </c>
      <c r="CM14" s="87">
        <f t="shared" si="14"/>
        <v>45689</v>
      </c>
      <c r="CN14" s="88" t="str">
        <f t="shared" ref="CN14:CN500" si="26">IF(AND(SUM(INDIRECT("CC"&amp;ROW(CC15) - $BI$4&amp;":CC" &amp; ROW(CC14)))=$BI$4,CM14&lt;&gt;""),"Sim","")
</f>
        <v/>
      </c>
      <c r="CO14" s="88" t="str">
        <f t="shared" si="15"/>
        <v/>
      </c>
      <c r="CP14" s="88" t="str">
        <f t="shared" si="16"/>
        <v/>
      </c>
      <c r="CQ14" s="88" t="str">
        <f t="shared" si="17"/>
        <v/>
      </c>
      <c r="CR14" s="88" t="str">
        <f t="shared" si="18"/>
        <v/>
      </c>
      <c r="CS14" s="88" t="str">
        <f t="shared" si="19"/>
        <v/>
      </c>
      <c r="CT14" s="88" t="str">
        <f t="shared" si="20"/>
        <v/>
      </c>
      <c r="CU14" s="88" t="str">
        <f t="shared" si="21"/>
        <v/>
      </c>
      <c r="CV14" s="88" t="str">
        <f t="shared" si="22"/>
        <v/>
      </c>
      <c r="CW14" s="88" t="str">
        <f t="shared" si="23"/>
        <v/>
      </c>
      <c r="CX14" s="7"/>
      <c r="CY14" s="7"/>
      <c r="CZ14" s="7"/>
      <c r="DA14" s="8"/>
      <c r="DB14" s="89" t="str">
        <f>IF(DD14&lt;&gt;"","Fev.","")</f>
        <v>Fev.</v>
      </c>
      <c r="DC14" s="90">
        <v>2.0</v>
      </c>
      <c r="DD14" s="91">
        <f>IFERROR(__xludf.DUMMYFUNCTION("IFERROR(AVERAGE(FILTER(INDIRECT(ADDRESS(13, (MATCH($BB$4, $12:$12, 0))) &amp; "":"" &amp; ADDRESS(1000, (MATCH($BB$4, $12:$12, 0)))), $DW$13:$DW$500 = DC14,$A$13:$A$500 &gt;= $DQ$25,$A$13:$A$500 &lt;= $DQ$26)),"""")
"),1.0)</f>
        <v>1</v>
      </c>
      <c r="DF14" s="89" t="str">
        <f>$B10</f>
        <v>Vinculo Emocional</v>
      </c>
      <c r="DG14" s="101">
        <f>IFERROR(__xludf.DUMMYFUNCTION("IFERROR(AVERAGE(FILTER(INDIRECT(ADDRESS(13,(MATCH(DF14,$12:$12,0))) &amp; "":"" &amp; ADDRESS(1000, (MATCH(DF14,$12:$12,0)))),$A$13:$A$500 &gt;= $DQ$25,$A$13:$A$500 &lt;= $DQ$26)),"""")"),1.0)</f>
        <v>1</v>
      </c>
      <c r="DI14" s="89" t="str">
        <f>IF(DK14=1,$B10,"")</f>
        <v>Vinculo Emocional</v>
      </c>
      <c r="DJ14" s="102" t="str">
        <f t="shared" ref="DJ14:DJ23" si="27">IF(INDEX($CN$10:$CW$12,1,ROW(BV1))="Recurso Adquirido",INDEX($CN$10:$CW$12,1,ROW(BV1)),"")</f>
        <v>Recurso Adquirido</v>
      </c>
      <c r="DK14" s="102">
        <f t="shared" ref="DK14:DK23" si="28">IF(DJ14="Recurso Adquirido",1,"")</f>
        <v>1</v>
      </c>
      <c r="DM14" s="89" t="str">
        <f>$B10</f>
        <v>Vinculo Emocional</v>
      </c>
      <c r="DN14" s="101" t="str">
        <f>IFERROR(__xludf.DUMMYFUNCTION("IFERROR(AVERAGE(FILTER(INDIRECT(ADDRESS(13, (MATCH(DM14, $12:$12, 0))) &amp; "":"" &amp; ADDRESS(1000, (MATCH(DM14, $12:$12, 0)))), $A$13:$A$500 &gt; (DATE(YEAR((TODAY()-(30*2))),MONTH((TODAY()-(30*2))),1)))),"""")
"),"")</f>
        <v/>
      </c>
      <c r="DP14" s="89" t="s">
        <v>42</v>
      </c>
      <c r="DQ14" s="103">
        <f>DATE(YEAR((TODAY()-(150))),MONTH((TODAY()-(150))),1)</f>
        <v>46082</v>
      </c>
      <c r="DS14" s="103">
        <f>DATE(YEAR((TODAY()-(30*2))),MONTH((TODAY()-(30*2))),1)</f>
        <v>46174</v>
      </c>
      <c r="DU14" s="104">
        <f t="shared" si="24"/>
        <v>45689</v>
      </c>
      <c r="DV14" s="104">
        <f>ABA!$A14</f>
        <v>45689</v>
      </c>
      <c r="DW14" s="98">
        <f t="shared" si="25"/>
        <v>2</v>
      </c>
    </row>
    <row r="15">
      <c r="A15" s="78">
        <v>45717.0</v>
      </c>
      <c r="B15" s="79">
        <v>1.0</v>
      </c>
      <c r="C15" s="80"/>
      <c r="D15" s="80"/>
      <c r="E15" s="81"/>
      <c r="F15" s="80">
        <v>1.0</v>
      </c>
      <c r="G15" s="80"/>
      <c r="H15" s="80">
        <v>2.0</v>
      </c>
      <c r="I15" s="81">
        <v>1.0</v>
      </c>
      <c r="J15" s="80"/>
      <c r="K15" s="82"/>
      <c r="L15" s="80">
        <v>1.0</v>
      </c>
      <c r="M15" s="81">
        <v>3.0</v>
      </c>
      <c r="N15" s="80">
        <v>1.0</v>
      </c>
      <c r="O15" s="82"/>
      <c r="P15" s="82"/>
      <c r="Q15" s="83"/>
      <c r="R15" s="80">
        <v>1.0</v>
      </c>
      <c r="S15" s="82"/>
      <c r="T15" s="82"/>
      <c r="U15" s="83"/>
      <c r="V15" s="80"/>
      <c r="W15" s="82"/>
      <c r="X15" s="82"/>
      <c r="Y15" s="83"/>
      <c r="Z15" s="80"/>
      <c r="AA15" s="82"/>
      <c r="AB15" s="82"/>
      <c r="AC15" s="83"/>
      <c r="AD15" s="80"/>
      <c r="AE15" s="82"/>
      <c r="AF15" s="82"/>
      <c r="AG15" s="83"/>
      <c r="AH15" s="80"/>
      <c r="AI15" s="82"/>
      <c r="AJ15" s="82"/>
      <c r="AK15" s="83"/>
      <c r="AL15" s="80"/>
      <c r="AM15" s="80"/>
      <c r="AN15" s="80"/>
      <c r="AO15" s="80"/>
      <c r="AP15" s="84">
        <f t="shared" si="2"/>
        <v>0.725</v>
      </c>
      <c r="AQ15" s="9"/>
      <c r="AR15" s="9"/>
      <c r="AS15" s="8"/>
      <c r="AT15" s="9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8"/>
      <c r="BX15" s="9"/>
      <c r="BY15" s="9"/>
      <c r="BZ15" s="9"/>
      <c r="CA15" s="33"/>
      <c r="CB15" s="85">
        <f t="shared" si="3"/>
        <v>45717</v>
      </c>
      <c r="CC15" s="86">
        <f t="shared" si="4"/>
        <v>1</v>
      </c>
      <c r="CD15" s="86">
        <f t="shared" si="5"/>
        <v>0.5</v>
      </c>
      <c r="CE15" s="86">
        <f t="shared" si="6"/>
        <v>0.125</v>
      </c>
      <c r="CF15" s="86">
        <f t="shared" si="7"/>
        <v>1</v>
      </c>
      <c r="CG15" s="86">
        <f t="shared" si="8"/>
        <v>1</v>
      </c>
      <c r="CH15" s="86" t="str">
        <f t="shared" si="9"/>
        <v/>
      </c>
      <c r="CI15" s="86" t="str">
        <f t="shared" si="10"/>
        <v/>
      </c>
      <c r="CJ15" s="86" t="str">
        <f t="shared" si="11"/>
        <v/>
      </c>
      <c r="CK15" s="86" t="str">
        <f t="shared" si="12"/>
        <v/>
      </c>
      <c r="CL15" s="86" t="str">
        <f t="shared" si="13"/>
        <v/>
      </c>
      <c r="CM15" s="87">
        <f t="shared" si="14"/>
        <v>45717</v>
      </c>
      <c r="CN15" s="88" t="str">
        <f t="shared" si="26"/>
        <v/>
      </c>
      <c r="CO15" s="88" t="str">
        <f t="shared" si="15"/>
        <v/>
      </c>
      <c r="CP15" s="88" t="str">
        <f t="shared" si="16"/>
        <v/>
      </c>
      <c r="CQ15" s="88" t="str">
        <f t="shared" si="17"/>
        <v>Sim</v>
      </c>
      <c r="CR15" s="88" t="str">
        <f t="shared" si="18"/>
        <v/>
      </c>
      <c r="CS15" s="88" t="str">
        <f t="shared" si="19"/>
        <v/>
      </c>
      <c r="CT15" s="88" t="str">
        <f t="shared" si="20"/>
        <v/>
      </c>
      <c r="CU15" s="88" t="str">
        <f t="shared" si="21"/>
        <v/>
      </c>
      <c r="CV15" s="88" t="str">
        <f t="shared" si="22"/>
        <v/>
      </c>
      <c r="CW15" s="88" t="str">
        <f t="shared" si="23"/>
        <v/>
      </c>
      <c r="CX15" s="7"/>
      <c r="CY15" s="7"/>
      <c r="CZ15" s="7"/>
      <c r="DA15" s="77"/>
      <c r="DB15" s="89" t="str">
        <f>IF(DD15&lt;&gt;"","Mar.","")</f>
        <v>Mar.</v>
      </c>
      <c r="DC15" s="90">
        <v>3.0</v>
      </c>
      <c r="DD15" s="91">
        <f>IFERROR(__xludf.DUMMYFUNCTION("IFERROR(AVERAGE(FILTER(INDIRECT(ADDRESS(13, (MATCH($BB$4, $12:$12, 0))) &amp; "":"" &amp; ADDRESS(1000, (MATCH($BB$4, $12:$12, 0)))), $DW$13:$DW$500 = DC15,$A$13:$A$500 &gt;= $DQ$25,$A$13:$A$500 &lt;= $DQ$26)),"""")
"),1.0)</f>
        <v>1</v>
      </c>
      <c r="DF15" s="89" t="str">
        <f>$F$10</f>
        <v>Contato Visual</v>
      </c>
      <c r="DG15" s="101">
        <f>IFERROR(__xludf.DUMMYFUNCTION("IFERROR(AVERAGE(FILTER(INDIRECT(ADDRESS(13,(MATCH(DF15,$12:$12,0))) &amp; "":"" &amp; ADDRESS(1000, (MATCH(DF15,$12:$12,0)))),$A$13:$A$500 &gt;= $DQ$25,$A$13:$A$500 &lt;= $DQ$26)),"""")"),0.559375)</f>
        <v>0.559375</v>
      </c>
      <c r="DI15" s="89" t="str">
        <f>IF(DK15=1,$F$10,"")</f>
        <v/>
      </c>
      <c r="DJ15" s="102" t="str">
        <f t="shared" si="27"/>
        <v/>
      </c>
      <c r="DK15" s="102" t="str">
        <f t="shared" si="28"/>
        <v/>
      </c>
      <c r="DM15" s="89" t="str">
        <f>$F$10</f>
        <v>Contato Visual</v>
      </c>
      <c r="DN15" s="101" t="str">
        <f>IFERROR(__xludf.DUMMYFUNCTION("IFERROR(AVERAGE(FILTER(INDIRECT(ADDRESS(13, (MATCH(DM15, $12:$12, 0))) &amp; "":"" &amp; ADDRESS(1000, (MATCH(DM15, $12:$12, 0)))), $A$13:$A$500 &gt; (DATE(YEAR((TODAY()-(30*2))),MONTH((TODAY()-(30*2))),1)))),"""")
"),"")</f>
        <v/>
      </c>
      <c r="DP15" s="102">
        <f t="array" ref="DP15:DP16">UNIQUE(IF(A13:A500&lt;&gt;"", YEAR(A13:A500), ""))
</f>
        <v>2025</v>
      </c>
      <c r="DQ15" s="103">
        <f t="shared" ref="DQ15:DQ23" si="29">DATE(DP15,1,1)</f>
        <v>45658</v>
      </c>
      <c r="DU15" s="93">
        <f t="shared" si="24"/>
        <v>45717</v>
      </c>
      <c r="DV15" s="93">
        <f>ABA!$A15</f>
        <v>45717</v>
      </c>
      <c r="DW15" s="82">
        <f t="shared" si="25"/>
        <v>3</v>
      </c>
    </row>
    <row r="16">
      <c r="A16" s="94">
        <v>45748.0</v>
      </c>
      <c r="B16" s="95">
        <v>1.0</v>
      </c>
      <c r="C16" s="96"/>
      <c r="D16" s="96"/>
      <c r="E16" s="99"/>
      <c r="F16" s="96"/>
      <c r="G16" s="96">
        <v>3.0</v>
      </c>
      <c r="H16" s="98"/>
      <c r="I16" s="97">
        <v>5.0</v>
      </c>
      <c r="J16" s="96">
        <v>2.0</v>
      </c>
      <c r="K16" s="96">
        <v>3.0</v>
      </c>
      <c r="L16" s="98"/>
      <c r="M16" s="97">
        <v>1.0</v>
      </c>
      <c r="N16" s="96">
        <v>1.0</v>
      </c>
      <c r="O16" s="98"/>
      <c r="P16" s="98"/>
      <c r="Q16" s="99"/>
      <c r="R16" s="96">
        <v>1.0</v>
      </c>
      <c r="S16" s="98"/>
      <c r="T16" s="98"/>
      <c r="U16" s="99"/>
      <c r="V16" s="96"/>
      <c r="W16" s="98"/>
      <c r="X16" s="98"/>
      <c r="Y16" s="100"/>
      <c r="Z16" s="96"/>
      <c r="AA16" s="98"/>
      <c r="AB16" s="98"/>
      <c r="AC16" s="99"/>
      <c r="AD16" s="96"/>
      <c r="AE16" s="98"/>
      <c r="AF16" s="98"/>
      <c r="AG16" s="99"/>
      <c r="AH16" s="96"/>
      <c r="AI16" s="98"/>
      <c r="AJ16" s="98"/>
      <c r="AK16" s="99"/>
      <c r="AL16" s="96"/>
      <c r="AM16" s="98"/>
      <c r="AN16" s="98"/>
      <c r="AO16" s="98"/>
      <c r="AP16" s="84">
        <f t="shared" si="2"/>
        <v>0.7891666667</v>
      </c>
      <c r="AQ16" s="9"/>
      <c r="AR16" s="9"/>
      <c r="AS16" s="8"/>
      <c r="AT16" s="9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8"/>
      <c r="BX16" s="9"/>
      <c r="BY16" s="9"/>
      <c r="BZ16" s="9"/>
      <c r="CA16" s="33"/>
      <c r="CB16" s="85">
        <f t="shared" si="3"/>
        <v>45748</v>
      </c>
      <c r="CC16" s="86">
        <f t="shared" si="4"/>
        <v>1</v>
      </c>
      <c r="CD16" s="86">
        <f t="shared" si="5"/>
        <v>0.2625</v>
      </c>
      <c r="CE16" s="86">
        <f t="shared" si="6"/>
        <v>0.6833333333</v>
      </c>
      <c r="CF16" s="86">
        <f t="shared" si="7"/>
        <v>1</v>
      </c>
      <c r="CG16" s="86">
        <f t="shared" si="8"/>
        <v>1</v>
      </c>
      <c r="CH16" s="86" t="str">
        <f t="shared" si="9"/>
        <v/>
      </c>
      <c r="CI16" s="86" t="str">
        <f t="shared" si="10"/>
        <v/>
      </c>
      <c r="CJ16" s="86" t="str">
        <f t="shared" si="11"/>
        <v/>
      </c>
      <c r="CK16" s="86" t="str">
        <f t="shared" si="12"/>
        <v/>
      </c>
      <c r="CL16" s="86" t="str">
        <f t="shared" si="13"/>
        <v/>
      </c>
      <c r="CM16" s="87">
        <f t="shared" si="14"/>
        <v>45748</v>
      </c>
      <c r="CN16" s="88" t="str">
        <f t="shared" si="26"/>
        <v>Sim</v>
      </c>
      <c r="CO16" s="88" t="str">
        <f t="shared" si="15"/>
        <v/>
      </c>
      <c r="CP16" s="88" t="str">
        <f t="shared" si="16"/>
        <v/>
      </c>
      <c r="CQ16" s="88" t="str">
        <f t="shared" si="17"/>
        <v>Sim</v>
      </c>
      <c r="CR16" s="88" t="str">
        <f t="shared" si="18"/>
        <v>Sim</v>
      </c>
      <c r="CS16" s="88" t="str">
        <f t="shared" si="19"/>
        <v/>
      </c>
      <c r="CT16" s="88" t="str">
        <f t="shared" si="20"/>
        <v/>
      </c>
      <c r="CU16" s="88" t="str">
        <f t="shared" si="21"/>
        <v/>
      </c>
      <c r="CV16" s="88" t="str">
        <f t="shared" si="22"/>
        <v/>
      </c>
      <c r="CW16" s="88" t="str">
        <f t="shared" si="23"/>
        <v/>
      </c>
      <c r="CX16" s="7"/>
      <c r="CY16" s="7"/>
      <c r="CZ16" s="7"/>
      <c r="DA16" s="8"/>
      <c r="DB16" s="89" t="str">
        <f>IF(DD16&lt;&gt;"","Abr.","")</f>
        <v>Abr.</v>
      </c>
      <c r="DC16" s="90">
        <v>4.0</v>
      </c>
      <c r="DD16" s="91">
        <f>IFERROR(__xludf.DUMMYFUNCTION("IFERROR(AVERAGE(FILTER(INDIRECT(ADDRESS(13, (MATCH($BB$4, $12:$12, 0))) &amp; "":"" &amp; ADDRESS(1000, (MATCH($BB$4, $12:$12, 0)))), $DW$13:$DW$500 = DC16,$A$13:$A$500 &gt;= $DQ$25,$A$13:$A$500 &lt;= $DQ$26)),"""")
"),1.0)</f>
        <v>1</v>
      </c>
      <c r="DF16" s="89" t="str">
        <f>$J$10</f>
        <v>Permanecer sentado na cadeira</v>
      </c>
      <c r="DG16" s="101">
        <f>IFERROR(__xludf.DUMMYFUNCTION("IFERROR(AVERAGE(FILTER(INDIRECT(ADDRESS(13,(MATCH(DF16,$12:$12,0))) &amp; "":"" &amp; ADDRESS(1000, (MATCH(DF16,$12:$12,0)))),$A$13:$A$500 &gt;= $DQ$25,$A$13:$A$500 &lt;= $DQ$26)),"""")"),0.5854166666666666)</f>
        <v>0.5854166667</v>
      </c>
      <c r="DI16" s="89" t="str">
        <f>IF(DK16=1,$J$10,"")</f>
        <v/>
      </c>
      <c r="DJ16" s="102" t="str">
        <f t="shared" si="27"/>
        <v/>
      </c>
      <c r="DK16" s="102" t="str">
        <f t="shared" si="28"/>
        <v/>
      </c>
      <c r="DM16" s="89" t="str">
        <f>$J$10</f>
        <v>Permanecer sentado na cadeira</v>
      </c>
      <c r="DN16" s="101" t="str">
        <f>IFERROR(__xludf.DUMMYFUNCTION("IFERROR(AVERAGE(FILTER(INDIRECT(ADDRESS(13, (MATCH(DM16, $12:$12, 0))) &amp; "":"" &amp; ADDRESS(1000, (MATCH(DM16, $12:$12, 0)))), $A$13:$A$500 &gt; (DATE(YEAR((TODAY()-(30*2))),MONTH((TODAY()-(30*2))),1)))),"""")
"),"")</f>
        <v/>
      </c>
      <c r="DP16" s="102" t="s">
        <v>43</v>
      </c>
      <c r="DQ16" s="103">
        <f t="shared" si="29"/>
        <v>2</v>
      </c>
      <c r="DS16" s="89" t="s">
        <v>44</v>
      </c>
      <c r="DT16" s="101">
        <f t="array" ref="DT16">IFERROR(AVERAGE(INDIRECT(ADDRESS(2,(MATCH(BB4,$12:$12,0))) &amp; ":" &amp; ADDRESS(1000, (MATCH(BB4,$12:$12,0))))),0)</f>
        <v>1</v>
      </c>
      <c r="DU16" s="104">
        <f t="shared" si="24"/>
        <v>45748</v>
      </c>
      <c r="DV16" s="104">
        <f>ABA!$A16</f>
        <v>45748</v>
      </c>
      <c r="DW16" s="98">
        <f t="shared" si="25"/>
        <v>4</v>
      </c>
    </row>
    <row r="17">
      <c r="A17" s="78"/>
      <c r="B17" s="105"/>
      <c r="C17" s="80"/>
      <c r="D17" s="80"/>
      <c r="E17" s="81"/>
      <c r="F17" s="80"/>
      <c r="G17" s="80"/>
      <c r="H17" s="82"/>
      <c r="I17" s="81"/>
      <c r="J17" s="80"/>
      <c r="K17" s="80"/>
      <c r="L17" s="82"/>
      <c r="M17" s="81"/>
      <c r="N17" s="80">
        <v>1.0</v>
      </c>
      <c r="O17" s="82"/>
      <c r="P17" s="82"/>
      <c r="Q17" s="83"/>
      <c r="R17" s="80">
        <v>1.0</v>
      </c>
      <c r="S17" s="80"/>
      <c r="T17" s="82"/>
      <c r="U17" s="81"/>
      <c r="V17" s="80"/>
      <c r="W17" s="82"/>
      <c r="X17" s="82"/>
      <c r="Y17" s="83"/>
      <c r="Z17" s="80"/>
      <c r="AA17" s="80"/>
      <c r="AB17" s="82"/>
      <c r="AC17" s="81"/>
      <c r="AD17" s="80"/>
      <c r="AE17" s="82"/>
      <c r="AF17" s="82"/>
      <c r="AG17" s="83"/>
      <c r="AH17" s="80"/>
      <c r="AI17" s="80"/>
      <c r="AJ17" s="82"/>
      <c r="AK17" s="81"/>
      <c r="AL17" s="80"/>
      <c r="AM17" s="80"/>
      <c r="AN17" s="80"/>
      <c r="AO17" s="82"/>
      <c r="AP17" s="84">
        <f t="shared" si="2"/>
        <v>1</v>
      </c>
      <c r="AQ17" s="9"/>
      <c r="AR17" s="9"/>
      <c r="AS17" s="8"/>
      <c r="AT17" s="9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8"/>
      <c r="BX17" s="9"/>
      <c r="BY17" s="9"/>
      <c r="BZ17" s="9"/>
      <c r="CA17" s="33"/>
      <c r="CB17" s="85" t="str">
        <f t="shared" si="3"/>
        <v/>
      </c>
      <c r="CC17" s="86" t="str">
        <f t="shared" si="4"/>
        <v/>
      </c>
      <c r="CD17" s="86" t="str">
        <f t="shared" si="5"/>
        <v/>
      </c>
      <c r="CE17" s="86" t="str">
        <f t="shared" si="6"/>
        <v/>
      </c>
      <c r="CF17" s="86">
        <f t="shared" si="7"/>
        <v>1</v>
      </c>
      <c r="CG17" s="86">
        <f t="shared" si="8"/>
        <v>1</v>
      </c>
      <c r="CH17" s="86" t="str">
        <f t="shared" si="9"/>
        <v/>
      </c>
      <c r="CI17" s="86" t="str">
        <f t="shared" si="10"/>
        <v/>
      </c>
      <c r="CJ17" s="86" t="str">
        <f t="shared" si="11"/>
        <v/>
      </c>
      <c r="CK17" s="86" t="str">
        <f t="shared" si="12"/>
        <v/>
      </c>
      <c r="CL17" s="86" t="str">
        <f t="shared" si="13"/>
        <v/>
      </c>
      <c r="CM17" s="87" t="str">
        <f t="shared" si="14"/>
        <v/>
      </c>
      <c r="CN17" s="88" t="str">
        <f t="shared" si="26"/>
        <v/>
      </c>
      <c r="CO17" s="88" t="str">
        <f t="shared" si="15"/>
        <v/>
      </c>
      <c r="CP17" s="88" t="str">
        <f t="shared" si="16"/>
        <v/>
      </c>
      <c r="CQ17" s="88" t="str">
        <f t="shared" si="17"/>
        <v/>
      </c>
      <c r="CR17" s="88" t="str">
        <f t="shared" si="18"/>
        <v/>
      </c>
      <c r="CS17" s="88" t="str">
        <f t="shared" si="19"/>
        <v/>
      </c>
      <c r="CT17" s="88" t="str">
        <f t="shared" si="20"/>
        <v/>
      </c>
      <c r="CU17" s="88" t="str">
        <f t="shared" si="21"/>
        <v/>
      </c>
      <c r="CV17" s="88" t="str">
        <f t="shared" si="22"/>
        <v/>
      </c>
      <c r="CW17" s="88" t="str">
        <f t="shared" si="23"/>
        <v/>
      </c>
      <c r="CX17" s="7"/>
      <c r="CY17" s="7"/>
      <c r="CZ17" s="7"/>
      <c r="DA17" s="8"/>
      <c r="DB17" s="89" t="str">
        <f>IF(DD17&lt;&gt;"","Mai.","")</f>
        <v/>
      </c>
      <c r="DC17" s="90">
        <v>5.0</v>
      </c>
      <c r="DD17" s="91" t="str">
        <f>IFERROR(__xludf.DUMMYFUNCTION("IFERROR(AVERAGE(FILTER(INDIRECT(ADDRESS(13, (MATCH($BB$4, $12:$12, 0))) &amp; "":"" &amp; ADDRESS(1000, (MATCH($BB$4, $12:$12, 0)))), $DW$13:$DW$500 = DC17,$A$13:$A$500 &gt;= $DQ$25,$A$13:$A$500 &lt;= $DQ$26)),"""")
"),"")</f>
        <v/>
      </c>
      <c r="DF17" s="89" t="str">
        <f>$N$10</f>
        <v>Esperar</v>
      </c>
      <c r="DG17" s="101">
        <f>IFERROR(__xludf.DUMMYFUNCTION("IFERROR(AVERAGE(FILTER(INDIRECT(ADDRESS(13,(MATCH(DF17,$12:$12,0))) &amp; "":"" &amp; ADDRESS(1000, (MATCH(DF17,$12:$12,0)))),$A$13:$A$500 &gt;= $DQ$25,$A$13:$A$500 &lt;= $DQ$26)),"""")"),1.0)</f>
        <v>1</v>
      </c>
      <c r="DI17" s="89" t="str">
        <f>IF(DK17=1,$N$10,"")</f>
        <v>Esperar</v>
      </c>
      <c r="DJ17" s="102" t="str">
        <f t="shared" si="27"/>
        <v>Recurso Adquirido</v>
      </c>
      <c r="DK17" s="102">
        <f t="shared" si="28"/>
        <v>1</v>
      </c>
      <c r="DM17" s="89" t="str">
        <f>$N$10</f>
        <v>Esperar</v>
      </c>
      <c r="DN17" s="101" t="str">
        <f>IFERROR(__xludf.DUMMYFUNCTION("IFERROR(AVERAGE(FILTER(INDIRECT(ADDRESS(13, (MATCH(DM17, $12:$12, 0))) &amp; "":"" &amp; ADDRESS(1000, (MATCH(DM17, $12:$12, 0)))), $A$13:$A$500 &gt; (DATE(YEAR((TODAY()-(30*2))),MONTH((TODAY()-(30*2))),1)))),"""")
"),"")</f>
        <v/>
      </c>
      <c r="DP17" s="102"/>
      <c r="DQ17" s="103">
        <f t="shared" si="29"/>
        <v>2</v>
      </c>
      <c r="DU17" s="93" t="str">
        <f t="shared" si="24"/>
        <v/>
      </c>
      <c r="DV17" s="93" t="str">
        <f>ABA!$A17</f>
        <v/>
      </c>
      <c r="DW17" s="82" t="str">
        <f t="shared" si="25"/>
        <v/>
      </c>
    </row>
    <row r="18">
      <c r="A18" s="94"/>
      <c r="B18" s="95"/>
      <c r="C18" s="96"/>
      <c r="D18" s="96"/>
      <c r="E18" s="97"/>
      <c r="F18" s="96"/>
      <c r="G18" s="98"/>
      <c r="H18" s="96"/>
      <c r="I18" s="99"/>
      <c r="J18" s="96"/>
      <c r="K18" s="98"/>
      <c r="L18" s="96"/>
      <c r="M18" s="99"/>
      <c r="N18" s="96"/>
      <c r="O18" s="98"/>
      <c r="P18" s="98"/>
      <c r="Q18" s="99"/>
      <c r="R18" s="96"/>
      <c r="S18" s="98"/>
      <c r="T18" s="96"/>
      <c r="U18" s="99"/>
      <c r="V18" s="96"/>
      <c r="W18" s="98"/>
      <c r="X18" s="98"/>
      <c r="Y18" s="100"/>
      <c r="Z18" s="96"/>
      <c r="AA18" s="98"/>
      <c r="AB18" s="96"/>
      <c r="AC18" s="99"/>
      <c r="AD18" s="96"/>
      <c r="AE18" s="98"/>
      <c r="AF18" s="98"/>
      <c r="AG18" s="99"/>
      <c r="AH18" s="96"/>
      <c r="AI18" s="98"/>
      <c r="AJ18" s="96"/>
      <c r="AK18" s="99"/>
      <c r="AL18" s="96"/>
      <c r="AM18" s="98"/>
      <c r="AN18" s="98"/>
      <c r="AO18" s="98"/>
      <c r="AP18" s="84" t="str">
        <f t="shared" si="2"/>
        <v/>
      </c>
      <c r="AQ18" s="9"/>
      <c r="AR18" s="9"/>
      <c r="AS18" s="8"/>
      <c r="AT18" s="9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8"/>
      <c r="BX18" s="9"/>
      <c r="BY18" s="9"/>
      <c r="BZ18" s="9"/>
      <c r="CA18" s="33"/>
      <c r="CB18" s="85" t="str">
        <f t="shared" si="3"/>
        <v/>
      </c>
      <c r="CC18" s="86" t="str">
        <f t="shared" si="4"/>
        <v/>
      </c>
      <c r="CD18" s="86" t="str">
        <f t="shared" si="5"/>
        <v/>
      </c>
      <c r="CE18" s="86" t="str">
        <f t="shared" si="6"/>
        <v/>
      </c>
      <c r="CF18" s="86" t="str">
        <f t="shared" si="7"/>
        <v/>
      </c>
      <c r="CG18" s="86" t="str">
        <f t="shared" si="8"/>
        <v/>
      </c>
      <c r="CH18" s="86" t="str">
        <f t="shared" si="9"/>
        <v/>
      </c>
      <c r="CI18" s="86" t="str">
        <f t="shared" si="10"/>
        <v/>
      </c>
      <c r="CJ18" s="86" t="str">
        <f t="shared" si="11"/>
        <v/>
      </c>
      <c r="CK18" s="86" t="str">
        <f t="shared" si="12"/>
        <v/>
      </c>
      <c r="CL18" s="86" t="str">
        <f t="shared" si="13"/>
        <v/>
      </c>
      <c r="CM18" s="87" t="str">
        <f t="shared" si="14"/>
        <v/>
      </c>
      <c r="CN18" s="88" t="str">
        <f t="shared" si="26"/>
        <v/>
      </c>
      <c r="CO18" s="88" t="str">
        <f t="shared" si="15"/>
        <v/>
      </c>
      <c r="CP18" s="88" t="str">
        <f t="shared" si="16"/>
        <v/>
      </c>
      <c r="CQ18" s="88" t="str">
        <f t="shared" si="17"/>
        <v/>
      </c>
      <c r="CR18" s="88" t="str">
        <f t="shared" si="18"/>
        <v/>
      </c>
      <c r="CS18" s="88" t="str">
        <f t="shared" si="19"/>
        <v/>
      </c>
      <c r="CT18" s="88" t="str">
        <f t="shared" si="20"/>
        <v/>
      </c>
      <c r="CU18" s="88" t="str">
        <f t="shared" si="21"/>
        <v/>
      </c>
      <c r="CV18" s="88" t="str">
        <f t="shared" si="22"/>
        <v/>
      </c>
      <c r="CW18" s="88" t="str">
        <f t="shared" si="23"/>
        <v/>
      </c>
      <c r="CX18" s="7"/>
      <c r="CY18" s="7"/>
      <c r="CZ18" s="7"/>
      <c r="DA18" s="8"/>
      <c r="DB18" s="89" t="str">
        <f>IF(DD18&lt;&gt;"","Jun.","")</f>
        <v/>
      </c>
      <c r="DC18" s="90">
        <v>6.0</v>
      </c>
      <c r="DD18" s="91" t="str">
        <f>IFERROR(__xludf.DUMMYFUNCTION("IFERROR(AVERAGE(FILTER(INDIRECT(ADDRESS(13, (MATCH($BB$4, $12:$12, 0))) &amp; "":"" &amp; ADDRESS(1000, (MATCH($BB$4, $12:$12, 0)))), $DW$13:$DW$500 = DC18,$A$13:$A$500 &gt;= $DQ$25,$A$13:$A$500 &lt;= $DQ$26)),"""")
"),"")</f>
        <v/>
      </c>
      <c r="DF18" s="89" t="str">
        <f>$R$10</f>
        <v>Seguir instruções de um passo</v>
      </c>
      <c r="DG18" s="101">
        <f>IFERROR(__xludf.DUMMYFUNCTION("IFERROR(AVERAGE(FILTER(INDIRECT(ADDRESS(13,(MATCH(DF18,$12:$12,0))) &amp; "":"" &amp; ADDRESS(1000, (MATCH(DF18,$12:$12,0)))),$A$13:$A$500 &gt;= $DQ$25,$A$13:$A$500 &lt;= $DQ$26)),"""")"),1.0)</f>
        <v>1</v>
      </c>
      <c r="DI18" s="89" t="str">
        <f>IF(DK18=1,$R$10,"")</f>
        <v>Seguir instruções de um passo</v>
      </c>
      <c r="DJ18" s="102" t="str">
        <f t="shared" si="27"/>
        <v>Recurso Adquirido</v>
      </c>
      <c r="DK18" s="102">
        <f t="shared" si="28"/>
        <v>1</v>
      </c>
      <c r="DM18" s="89" t="str">
        <f>$R$10</f>
        <v>Seguir instruções de um passo</v>
      </c>
      <c r="DN18" s="101" t="str">
        <f>IFERROR(__xludf.DUMMYFUNCTION("IFERROR(AVERAGE(FILTER(INDIRECT(ADDRESS(13, (MATCH(DM18, $12:$12, 0))) &amp; "":"" &amp; ADDRESS(1000, (MATCH(DM18, $12:$12, 0)))), $A$13:$A$500 &gt; (DATE(YEAR((TODAY()-(30*2))),MONTH((TODAY()-(30*2))),1)))),"""")
"),"")</f>
        <v/>
      </c>
      <c r="DP18" s="102"/>
      <c r="DQ18" s="103">
        <f t="shared" si="29"/>
        <v>2</v>
      </c>
      <c r="DU18" s="104" t="str">
        <f t="shared" si="24"/>
        <v/>
      </c>
      <c r="DV18" s="104" t="str">
        <f>ABA!$A18</f>
        <v/>
      </c>
      <c r="DW18" s="98" t="str">
        <f t="shared" si="25"/>
        <v/>
      </c>
    </row>
    <row r="19">
      <c r="A19" s="78"/>
      <c r="B19" s="79"/>
      <c r="C19" s="80"/>
      <c r="D19" s="82"/>
      <c r="E19" s="83"/>
      <c r="F19" s="82"/>
      <c r="G19" s="80"/>
      <c r="H19" s="82"/>
      <c r="I19" s="83"/>
      <c r="J19" s="80"/>
      <c r="K19" s="80"/>
      <c r="L19" s="82"/>
      <c r="M19" s="83"/>
      <c r="N19" s="82"/>
      <c r="O19" s="82"/>
      <c r="P19" s="82"/>
      <c r="Q19" s="83"/>
      <c r="R19" s="82"/>
      <c r="S19" s="80"/>
      <c r="T19" s="82"/>
      <c r="U19" s="83"/>
      <c r="V19" s="82"/>
      <c r="W19" s="82"/>
      <c r="X19" s="82"/>
      <c r="Y19" s="83"/>
      <c r="Z19" s="82"/>
      <c r="AA19" s="80"/>
      <c r="AB19" s="82"/>
      <c r="AC19" s="83"/>
      <c r="AD19" s="80"/>
      <c r="AE19" s="82"/>
      <c r="AF19" s="82"/>
      <c r="AG19" s="83"/>
      <c r="AH19" s="80"/>
      <c r="AI19" s="80"/>
      <c r="AJ19" s="82"/>
      <c r="AK19" s="83"/>
      <c r="AL19" s="80"/>
      <c r="AM19" s="82"/>
      <c r="AN19" s="82"/>
      <c r="AO19" s="82"/>
      <c r="AP19" s="84" t="str">
        <f t="shared" si="2"/>
        <v/>
      </c>
      <c r="AQ19" s="9"/>
      <c r="AR19" s="9"/>
      <c r="AS19" s="8"/>
      <c r="AT19" s="9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8"/>
      <c r="BX19" s="9"/>
      <c r="BY19" s="9"/>
      <c r="BZ19" s="9"/>
      <c r="CA19" s="33"/>
      <c r="CB19" s="85" t="str">
        <f t="shared" si="3"/>
        <v/>
      </c>
      <c r="CC19" s="86" t="str">
        <f t="shared" si="4"/>
        <v/>
      </c>
      <c r="CD19" s="86" t="str">
        <f t="shared" si="5"/>
        <v/>
      </c>
      <c r="CE19" s="86" t="str">
        <f t="shared" si="6"/>
        <v/>
      </c>
      <c r="CF19" s="86" t="str">
        <f t="shared" si="7"/>
        <v/>
      </c>
      <c r="CG19" s="86" t="str">
        <f t="shared" si="8"/>
        <v/>
      </c>
      <c r="CH19" s="86" t="str">
        <f t="shared" si="9"/>
        <v/>
      </c>
      <c r="CI19" s="86" t="str">
        <f t="shared" si="10"/>
        <v/>
      </c>
      <c r="CJ19" s="86" t="str">
        <f t="shared" si="11"/>
        <v/>
      </c>
      <c r="CK19" s="86" t="str">
        <f t="shared" si="12"/>
        <v/>
      </c>
      <c r="CL19" s="86" t="str">
        <f t="shared" si="13"/>
        <v/>
      </c>
      <c r="CM19" s="87" t="str">
        <f t="shared" si="14"/>
        <v/>
      </c>
      <c r="CN19" s="88" t="str">
        <f t="shared" si="26"/>
        <v/>
      </c>
      <c r="CO19" s="88" t="str">
        <f t="shared" si="15"/>
        <v/>
      </c>
      <c r="CP19" s="88" t="str">
        <f t="shared" si="16"/>
        <v/>
      </c>
      <c r="CQ19" s="88" t="str">
        <f t="shared" si="17"/>
        <v/>
      </c>
      <c r="CR19" s="88" t="str">
        <f t="shared" si="18"/>
        <v/>
      </c>
      <c r="CS19" s="88" t="str">
        <f t="shared" si="19"/>
        <v/>
      </c>
      <c r="CT19" s="88" t="str">
        <f t="shared" si="20"/>
        <v/>
      </c>
      <c r="CU19" s="88" t="str">
        <f t="shared" si="21"/>
        <v/>
      </c>
      <c r="CV19" s="88" t="str">
        <f t="shared" si="22"/>
        <v/>
      </c>
      <c r="CW19" s="88" t="str">
        <f t="shared" si="23"/>
        <v/>
      </c>
      <c r="CX19" s="7"/>
      <c r="CY19" s="7"/>
      <c r="CZ19" s="7"/>
      <c r="DA19" s="8"/>
      <c r="DB19" s="89" t="str">
        <f>IF(DD19&lt;&gt;"","Jul.","")</f>
        <v/>
      </c>
      <c r="DC19" s="90">
        <v>7.0</v>
      </c>
      <c r="DD19" s="91" t="str">
        <f>IFERROR(__xludf.DUMMYFUNCTION("IFERROR(AVERAGE(FILTER(INDIRECT(ADDRESS(13, (MATCH($BB$4, $12:$12, 0))) &amp; "":"" &amp; ADDRESS(1000, (MATCH($BB$4, $12:$12, 0)))), $DW$13:$DW$500 = DC19,$A$13:$A$500 &gt;= $DQ$25,$A$13:$A$500 &lt;= $DQ$26)),"""")
"),"")</f>
        <v/>
      </c>
      <c r="DF19" s="89" t="str">
        <f>$V$10</f>
        <v/>
      </c>
      <c r="DG19" s="101" t="str">
        <f>IFERROR(__xludf.DUMMYFUNCTION("IFERROR(AVERAGE(FILTER(INDIRECT(ADDRESS(13,(MATCH(DF19,$12:$12,0))) &amp; "":"" &amp; ADDRESS(1000, (MATCH(DF19,$12:$12,0)))),$A$13:$A$500 &gt;= $DQ$25,$A$13:$A$500 &lt;= $DQ$26)),"""")"),"")</f>
        <v/>
      </c>
      <c r="DI19" s="89" t="str">
        <f>IF(DK19=1,$V$10,"")</f>
        <v/>
      </c>
      <c r="DJ19" s="102" t="str">
        <f t="shared" si="27"/>
        <v/>
      </c>
      <c r="DK19" s="102" t="str">
        <f t="shared" si="28"/>
        <v/>
      </c>
      <c r="DM19" s="89" t="str">
        <f>$V$10</f>
        <v/>
      </c>
      <c r="DN19" s="101" t="str">
        <f>IFERROR(__xludf.DUMMYFUNCTION("IFERROR(AVERAGE(FILTER(INDIRECT(ADDRESS(13, (MATCH(DM19, $12:$12, 0))) &amp; "":"" &amp; ADDRESS(1000, (MATCH(DM19, $12:$12, 0)))), $A$13:$A$500 &gt; (DATE(YEAR((TODAY()-(30*2))),MONTH((TODAY()-(30*2))),1)))),"""")
"),"")</f>
        <v/>
      </c>
      <c r="DP19" s="102"/>
      <c r="DQ19" s="103">
        <f t="shared" si="29"/>
        <v>2</v>
      </c>
      <c r="DU19" s="93" t="str">
        <f t="shared" si="24"/>
        <v/>
      </c>
      <c r="DV19" s="93" t="str">
        <f>ABA!$A19</f>
        <v/>
      </c>
      <c r="DW19" s="82" t="str">
        <f t="shared" si="25"/>
        <v/>
      </c>
    </row>
    <row r="20">
      <c r="A20" s="94"/>
      <c r="B20" s="95"/>
      <c r="C20" s="98"/>
      <c r="D20" s="98"/>
      <c r="E20" s="99"/>
      <c r="F20" s="98"/>
      <c r="G20" s="98"/>
      <c r="H20" s="96"/>
      <c r="I20" s="99"/>
      <c r="J20" s="98"/>
      <c r="K20" s="98"/>
      <c r="L20" s="98"/>
      <c r="M20" s="99"/>
      <c r="N20" s="98"/>
      <c r="O20" s="98"/>
      <c r="P20" s="98"/>
      <c r="Q20" s="99"/>
      <c r="R20" s="98"/>
      <c r="S20" s="98"/>
      <c r="T20" s="98"/>
      <c r="U20" s="99"/>
      <c r="V20" s="98"/>
      <c r="W20" s="98"/>
      <c r="X20" s="98"/>
      <c r="Y20" s="100"/>
      <c r="Z20" s="98"/>
      <c r="AA20" s="98"/>
      <c r="AB20" s="98"/>
      <c r="AC20" s="99"/>
      <c r="AD20" s="98"/>
      <c r="AE20" s="98"/>
      <c r="AF20" s="98"/>
      <c r="AG20" s="99"/>
      <c r="AH20" s="98"/>
      <c r="AI20" s="98"/>
      <c r="AJ20" s="98"/>
      <c r="AK20" s="99"/>
      <c r="AL20" s="98"/>
      <c r="AM20" s="98"/>
      <c r="AN20" s="98"/>
      <c r="AO20" s="98"/>
      <c r="AP20" s="84" t="str">
        <f t="shared" si="2"/>
        <v/>
      </c>
      <c r="AQ20" s="9"/>
      <c r="AR20" s="9"/>
      <c r="AS20" s="8"/>
      <c r="AT20" s="9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8"/>
      <c r="BX20" s="9"/>
      <c r="BY20" s="9"/>
      <c r="BZ20" s="9"/>
      <c r="CA20" s="33"/>
      <c r="CB20" s="85" t="str">
        <f t="shared" si="3"/>
        <v/>
      </c>
      <c r="CC20" s="86" t="str">
        <f t="shared" si="4"/>
        <v/>
      </c>
      <c r="CD20" s="86" t="str">
        <f t="shared" si="5"/>
        <v/>
      </c>
      <c r="CE20" s="86" t="str">
        <f t="shared" si="6"/>
        <v/>
      </c>
      <c r="CF20" s="86" t="str">
        <f t="shared" si="7"/>
        <v/>
      </c>
      <c r="CG20" s="86" t="str">
        <f t="shared" si="8"/>
        <v/>
      </c>
      <c r="CH20" s="86" t="str">
        <f t="shared" si="9"/>
        <v/>
      </c>
      <c r="CI20" s="86" t="str">
        <f t="shared" si="10"/>
        <v/>
      </c>
      <c r="CJ20" s="86" t="str">
        <f t="shared" si="11"/>
        <v/>
      </c>
      <c r="CK20" s="86" t="str">
        <f t="shared" si="12"/>
        <v/>
      </c>
      <c r="CL20" s="86" t="str">
        <f t="shared" si="13"/>
        <v/>
      </c>
      <c r="CM20" s="87" t="str">
        <f t="shared" si="14"/>
        <v/>
      </c>
      <c r="CN20" s="88" t="str">
        <f t="shared" si="26"/>
        <v/>
      </c>
      <c r="CO20" s="88" t="str">
        <f t="shared" si="15"/>
        <v/>
      </c>
      <c r="CP20" s="88" t="str">
        <f t="shared" si="16"/>
        <v/>
      </c>
      <c r="CQ20" s="88" t="str">
        <f t="shared" si="17"/>
        <v/>
      </c>
      <c r="CR20" s="88" t="str">
        <f t="shared" si="18"/>
        <v/>
      </c>
      <c r="CS20" s="88" t="str">
        <f t="shared" si="19"/>
        <v/>
      </c>
      <c r="CT20" s="88" t="str">
        <f t="shared" si="20"/>
        <v/>
      </c>
      <c r="CU20" s="88" t="str">
        <f t="shared" si="21"/>
        <v/>
      </c>
      <c r="CV20" s="88" t="str">
        <f t="shared" si="22"/>
        <v/>
      </c>
      <c r="CW20" s="88" t="str">
        <f t="shared" si="23"/>
        <v/>
      </c>
      <c r="CX20" s="7"/>
      <c r="CY20" s="7"/>
      <c r="CZ20" s="7"/>
      <c r="DA20" s="8"/>
      <c r="DB20" s="89" t="str">
        <f>IF(DD20&lt;&gt;"","Ago.","")</f>
        <v/>
      </c>
      <c r="DC20" s="90">
        <v>8.0</v>
      </c>
      <c r="DD20" s="91" t="str">
        <f>IFERROR(__xludf.DUMMYFUNCTION("IFERROR(AVERAGE(FILTER(INDIRECT(ADDRESS(13, (MATCH($BB$4, $12:$12, 0))) &amp; "":"" &amp; ADDRESS(1000, (MATCH($BB$4, $12:$12, 0)))), $DW$13:$DW$500 = DC20,$A$13:$A$500 &gt;= $DQ$25,$A$13:$A$500 &lt;= $DQ$26)),"""")
"),"")</f>
        <v/>
      </c>
      <c r="DF20" s="89" t="str">
        <f>$Z$10</f>
        <v/>
      </c>
      <c r="DG20" s="101" t="str">
        <f>IFERROR(__xludf.DUMMYFUNCTION("IFERROR(AVERAGE(FILTER(INDIRECT(ADDRESS(13,(MATCH(DF20,$12:$12,0))) &amp; "":"" &amp; ADDRESS(1000, (MATCH(DF20,$12:$12,0)))),$A$13:$A$500 &gt;= $DQ$25,$A$13:$A$500 &lt;= $DQ$26)),"""")"),"")</f>
        <v/>
      </c>
      <c r="DI20" s="89" t="str">
        <f>IF(DK20=1,$Z$10,"")</f>
        <v/>
      </c>
      <c r="DJ20" s="102" t="str">
        <f t="shared" si="27"/>
        <v/>
      </c>
      <c r="DK20" s="102" t="str">
        <f t="shared" si="28"/>
        <v/>
      </c>
      <c r="DM20" s="89" t="str">
        <f>$Z$10</f>
        <v/>
      </c>
      <c r="DN20" s="101" t="str">
        <f>IFERROR(__xludf.DUMMYFUNCTION("IFERROR(AVERAGE(FILTER(INDIRECT(ADDRESS(13, (MATCH(DM20, $12:$12, 0))) &amp; "":"" &amp; ADDRESS(1000, (MATCH(DM20, $12:$12, 0)))), $A$13:$A$500 &gt; (DATE(YEAR((TODAY()-(30*2))),MONTH((TODAY()-(30*2))),1)))),"""")
"),"")</f>
        <v/>
      </c>
      <c r="DP20" s="102"/>
      <c r="DQ20" s="103">
        <f t="shared" si="29"/>
        <v>2</v>
      </c>
      <c r="DU20" s="104" t="str">
        <f t="shared" si="24"/>
        <v/>
      </c>
      <c r="DV20" s="104" t="str">
        <f>ABA!$A20</f>
        <v/>
      </c>
      <c r="DW20" s="98" t="str">
        <f t="shared" si="25"/>
        <v/>
      </c>
    </row>
    <row r="21">
      <c r="A21" s="78"/>
      <c r="B21" s="79"/>
      <c r="C21" s="82"/>
      <c r="D21" s="82"/>
      <c r="E21" s="83"/>
      <c r="F21" s="82"/>
      <c r="G21" s="80"/>
      <c r="H21" s="82"/>
      <c r="I21" s="81"/>
      <c r="J21" s="82"/>
      <c r="K21" s="82"/>
      <c r="L21" s="82"/>
      <c r="M21" s="83"/>
      <c r="N21" s="82"/>
      <c r="O21" s="82"/>
      <c r="P21" s="82"/>
      <c r="Q21" s="83"/>
      <c r="R21" s="82"/>
      <c r="S21" s="82"/>
      <c r="T21" s="82"/>
      <c r="U21" s="83"/>
      <c r="V21" s="82"/>
      <c r="W21" s="82"/>
      <c r="X21" s="82"/>
      <c r="Y21" s="83"/>
      <c r="Z21" s="82"/>
      <c r="AA21" s="82"/>
      <c r="AB21" s="82"/>
      <c r="AC21" s="83"/>
      <c r="AD21" s="82"/>
      <c r="AE21" s="82"/>
      <c r="AF21" s="82"/>
      <c r="AG21" s="83"/>
      <c r="AH21" s="82"/>
      <c r="AI21" s="82"/>
      <c r="AJ21" s="82"/>
      <c r="AK21" s="83"/>
      <c r="AL21" s="82"/>
      <c r="AM21" s="82"/>
      <c r="AN21" s="82"/>
      <c r="AO21" s="82"/>
      <c r="AP21" s="84" t="str">
        <f t="shared" si="2"/>
        <v/>
      </c>
      <c r="AQ21" s="9"/>
      <c r="AR21" s="9"/>
      <c r="AS21" s="8"/>
      <c r="AT21" s="9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8"/>
      <c r="BX21" s="9"/>
      <c r="BY21" s="9"/>
      <c r="BZ21" s="9"/>
      <c r="CA21" s="33"/>
      <c r="CB21" s="85" t="str">
        <f t="shared" si="3"/>
        <v/>
      </c>
      <c r="CC21" s="86" t="str">
        <f t="shared" si="4"/>
        <v/>
      </c>
      <c r="CD21" s="86" t="str">
        <f t="shared" si="5"/>
        <v/>
      </c>
      <c r="CE21" s="86" t="str">
        <f t="shared" si="6"/>
        <v/>
      </c>
      <c r="CF21" s="86" t="str">
        <f t="shared" si="7"/>
        <v/>
      </c>
      <c r="CG21" s="86" t="str">
        <f t="shared" si="8"/>
        <v/>
      </c>
      <c r="CH21" s="86" t="str">
        <f t="shared" si="9"/>
        <v/>
      </c>
      <c r="CI21" s="86" t="str">
        <f t="shared" si="10"/>
        <v/>
      </c>
      <c r="CJ21" s="86" t="str">
        <f t="shared" si="11"/>
        <v/>
      </c>
      <c r="CK21" s="86" t="str">
        <f t="shared" si="12"/>
        <v/>
      </c>
      <c r="CL21" s="86" t="str">
        <f t="shared" si="13"/>
        <v/>
      </c>
      <c r="CM21" s="87" t="str">
        <f t="shared" si="14"/>
        <v/>
      </c>
      <c r="CN21" s="88" t="str">
        <f t="shared" si="26"/>
        <v/>
      </c>
      <c r="CO21" s="88" t="str">
        <f t="shared" si="15"/>
        <v/>
      </c>
      <c r="CP21" s="88" t="str">
        <f t="shared" si="16"/>
        <v/>
      </c>
      <c r="CQ21" s="88" t="str">
        <f t="shared" si="17"/>
        <v/>
      </c>
      <c r="CR21" s="88" t="str">
        <f t="shared" si="18"/>
        <v/>
      </c>
      <c r="CS21" s="88" t="str">
        <f t="shared" si="19"/>
        <v/>
      </c>
      <c r="CT21" s="88" t="str">
        <f t="shared" si="20"/>
        <v/>
      </c>
      <c r="CU21" s="88" t="str">
        <f t="shared" si="21"/>
        <v/>
      </c>
      <c r="CV21" s="88" t="str">
        <f t="shared" si="22"/>
        <v/>
      </c>
      <c r="CW21" s="88" t="str">
        <f t="shared" si="23"/>
        <v/>
      </c>
      <c r="CX21" s="7"/>
      <c r="CY21" s="7"/>
      <c r="CZ21" s="7"/>
      <c r="DA21" s="8"/>
      <c r="DB21" s="89" t="str">
        <f>IF(DD21&lt;&gt;"","Set.","")</f>
        <v/>
      </c>
      <c r="DC21" s="90">
        <v>9.0</v>
      </c>
      <c r="DD21" s="91" t="str">
        <f>IFERROR(__xludf.DUMMYFUNCTION("IFERROR(AVERAGE(FILTER(INDIRECT(ADDRESS(13, (MATCH($BB$4, $12:$12, 0))) &amp; "":"" &amp; ADDRESS(1000, (MATCH($BB$4, $12:$12, 0)))), $DW$13:$DW$500 = DC21,$A$13:$A$500 &gt;= $DQ$25,$A$13:$A$500 &lt;= $DQ$26)),"""")
"),"")</f>
        <v/>
      </c>
      <c r="DF21" s="89" t="str">
        <f>$AD$10</f>
        <v/>
      </c>
      <c r="DG21" s="101" t="str">
        <f>IFERROR(__xludf.DUMMYFUNCTION("IFERROR(AVERAGE(FILTER(INDIRECT(ADDRESS(13,(MATCH(DF21,$12:$12,0))) &amp; "":"" &amp; ADDRESS(1000, (MATCH(DF21,$12:$12,0)))),$A$13:$A$500 &gt;= $DQ$25,$A$13:$A$500 &lt;= $DQ$26)),"""")"),"")</f>
        <v/>
      </c>
      <c r="DI21" s="89" t="str">
        <f>IF(DK21=1,$AD$10,"")</f>
        <v/>
      </c>
      <c r="DJ21" s="102" t="str">
        <f t="shared" si="27"/>
        <v/>
      </c>
      <c r="DK21" s="102" t="str">
        <f t="shared" si="28"/>
        <v/>
      </c>
      <c r="DM21" s="89" t="str">
        <f>$AD$10</f>
        <v/>
      </c>
      <c r="DN21" s="101" t="str">
        <f>IFERROR(__xludf.DUMMYFUNCTION("IFERROR(AVERAGE(FILTER(INDIRECT(ADDRESS(13, (MATCH(DM21, $12:$12, 0))) &amp; "":"" &amp; ADDRESS(1000, (MATCH(DM21, $12:$12, 0)))), $A$13:$A$500 &gt; (DATE(YEAR((TODAY()-(30*2))),MONTH((TODAY()-(30*2))),1)))),"""")
"),"")</f>
        <v/>
      </c>
      <c r="DP21" s="102"/>
      <c r="DQ21" s="103">
        <f t="shared" si="29"/>
        <v>2</v>
      </c>
      <c r="DU21" s="93" t="str">
        <f t="shared" si="24"/>
        <v/>
      </c>
      <c r="DV21" s="93" t="str">
        <f>ABA!$A21</f>
        <v/>
      </c>
      <c r="DW21" s="82" t="str">
        <f t="shared" si="25"/>
        <v/>
      </c>
    </row>
    <row r="22">
      <c r="A22" s="94"/>
      <c r="B22" s="95"/>
      <c r="C22" s="96"/>
      <c r="D22" s="98"/>
      <c r="E22" s="99"/>
      <c r="F22" s="98"/>
      <c r="G22" s="98"/>
      <c r="H22" s="98"/>
      <c r="I22" s="99"/>
      <c r="J22" s="98"/>
      <c r="K22" s="98"/>
      <c r="L22" s="98"/>
      <c r="M22" s="99"/>
      <c r="N22" s="98"/>
      <c r="O22" s="98"/>
      <c r="P22" s="98"/>
      <c r="Q22" s="99"/>
      <c r="R22" s="98"/>
      <c r="S22" s="98"/>
      <c r="T22" s="98"/>
      <c r="U22" s="99"/>
      <c r="V22" s="98"/>
      <c r="W22" s="98"/>
      <c r="X22" s="98"/>
      <c r="Y22" s="100"/>
      <c r="Z22" s="98"/>
      <c r="AA22" s="98"/>
      <c r="AB22" s="98"/>
      <c r="AC22" s="99"/>
      <c r="AD22" s="98"/>
      <c r="AE22" s="98"/>
      <c r="AF22" s="98"/>
      <c r="AG22" s="99"/>
      <c r="AH22" s="98"/>
      <c r="AI22" s="98"/>
      <c r="AJ22" s="98"/>
      <c r="AK22" s="99"/>
      <c r="AL22" s="98"/>
      <c r="AM22" s="98"/>
      <c r="AN22" s="98"/>
      <c r="AO22" s="98"/>
      <c r="AP22" s="84" t="str">
        <f t="shared" si="2"/>
        <v/>
      </c>
      <c r="AQ22" s="9"/>
      <c r="AR22" s="9"/>
      <c r="AS22" s="8"/>
      <c r="AT22" s="9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8"/>
      <c r="BX22" s="9"/>
      <c r="BY22" s="9"/>
      <c r="BZ22" s="9"/>
      <c r="CA22" s="33"/>
      <c r="CB22" s="85" t="str">
        <f t="shared" si="3"/>
        <v/>
      </c>
      <c r="CC22" s="86" t="str">
        <f t="shared" si="4"/>
        <v/>
      </c>
      <c r="CD22" s="86" t="str">
        <f t="shared" si="5"/>
        <v/>
      </c>
      <c r="CE22" s="86" t="str">
        <f t="shared" si="6"/>
        <v/>
      </c>
      <c r="CF22" s="86" t="str">
        <f t="shared" si="7"/>
        <v/>
      </c>
      <c r="CG22" s="86" t="str">
        <f t="shared" si="8"/>
        <v/>
      </c>
      <c r="CH22" s="86" t="str">
        <f t="shared" si="9"/>
        <v/>
      </c>
      <c r="CI22" s="86" t="str">
        <f t="shared" si="10"/>
        <v/>
      </c>
      <c r="CJ22" s="86" t="str">
        <f t="shared" si="11"/>
        <v/>
      </c>
      <c r="CK22" s="86" t="str">
        <f t="shared" si="12"/>
        <v/>
      </c>
      <c r="CL22" s="86" t="str">
        <f t="shared" si="13"/>
        <v/>
      </c>
      <c r="CM22" s="87" t="str">
        <f t="shared" si="14"/>
        <v/>
      </c>
      <c r="CN22" s="88" t="str">
        <f t="shared" si="26"/>
        <v/>
      </c>
      <c r="CO22" s="88" t="str">
        <f t="shared" si="15"/>
        <v/>
      </c>
      <c r="CP22" s="88" t="str">
        <f t="shared" si="16"/>
        <v/>
      </c>
      <c r="CQ22" s="88" t="str">
        <f t="shared" si="17"/>
        <v/>
      </c>
      <c r="CR22" s="88" t="str">
        <f t="shared" si="18"/>
        <v/>
      </c>
      <c r="CS22" s="88" t="str">
        <f t="shared" si="19"/>
        <v/>
      </c>
      <c r="CT22" s="88" t="str">
        <f t="shared" si="20"/>
        <v/>
      </c>
      <c r="CU22" s="88" t="str">
        <f t="shared" si="21"/>
        <v/>
      </c>
      <c r="CV22" s="88" t="str">
        <f t="shared" si="22"/>
        <v/>
      </c>
      <c r="CW22" s="88" t="str">
        <f t="shared" si="23"/>
        <v/>
      </c>
      <c r="CX22" s="7"/>
      <c r="CY22" s="7"/>
      <c r="CZ22" s="7"/>
      <c r="DA22" s="8"/>
      <c r="DB22" s="89" t="str">
        <f>IF(DD22&lt;&gt;"","Out.","")</f>
        <v/>
      </c>
      <c r="DC22" s="90">
        <v>10.0</v>
      </c>
      <c r="DD22" s="91" t="str">
        <f>IFERROR(__xludf.DUMMYFUNCTION("IFERROR(AVERAGE(FILTER(INDIRECT(ADDRESS(13, (MATCH($BB$4, $12:$12, 0))) &amp; "":"" &amp; ADDRESS(1000, (MATCH($BB$4, $12:$12, 0)))), $DW$13:$DW$500 = DC22,$A$13:$A$500 &gt;= $DQ$25,$A$13:$A$500 &lt;= $DQ$26)),"""")
"),"")</f>
        <v/>
      </c>
      <c r="DF22" s="89" t="str">
        <f>$AH$10</f>
        <v/>
      </c>
      <c r="DG22" s="101" t="str">
        <f>IFERROR(__xludf.DUMMYFUNCTION("IFERROR(AVERAGE(FILTER(INDIRECT(ADDRESS(13,(MATCH(DF22,$12:$12,0))) &amp; "":"" &amp; ADDRESS(1000, (MATCH(DF22,$12:$12,0)))),$A$13:$A$500 &gt;= $DQ$25,$A$13:$A$500 &lt;= $DQ$26)),"""")"),"")</f>
        <v/>
      </c>
      <c r="DI22" s="89" t="str">
        <f>IF(DK22=1,$AH$10,"")</f>
        <v/>
      </c>
      <c r="DJ22" s="102" t="str">
        <f t="shared" si="27"/>
        <v/>
      </c>
      <c r="DK22" s="102" t="str">
        <f t="shared" si="28"/>
        <v/>
      </c>
      <c r="DM22" s="89" t="str">
        <f>$AH$10</f>
        <v/>
      </c>
      <c r="DN22" s="101" t="str">
        <f>IFERROR(__xludf.DUMMYFUNCTION("IFERROR(AVERAGE(FILTER(INDIRECT(ADDRESS(13, (MATCH(DM22, $12:$12, 0))) &amp; "":"" &amp; ADDRESS(1000, (MATCH(DM22, $12:$12, 0)))), $A$13:$A$500 &gt; (DATE(YEAR((TODAY()-(30*2))),MONTH((TODAY()-(30*2))),1)))),"""")
"),"")</f>
        <v/>
      </c>
      <c r="DP22" s="102"/>
      <c r="DQ22" s="103">
        <f t="shared" si="29"/>
        <v>2</v>
      </c>
      <c r="DU22" s="104" t="str">
        <f t="shared" si="24"/>
        <v/>
      </c>
      <c r="DV22" s="104" t="str">
        <f>ABA!$A22</f>
        <v/>
      </c>
      <c r="DW22" s="98" t="str">
        <f t="shared" si="25"/>
        <v/>
      </c>
    </row>
    <row r="23">
      <c r="A23" s="78"/>
      <c r="B23" s="79"/>
      <c r="C23" s="82"/>
      <c r="D23" s="82"/>
      <c r="E23" s="83"/>
      <c r="F23" s="82"/>
      <c r="G23" s="82"/>
      <c r="H23" s="82"/>
      <c r="I23" s="83"/>
      <c r="J23" s="82"/>
      <c r="K23" s="82"/>
      <c r="L23" s="82"/>
      <c r="M23" s="83"/>
      <c r="N23" s="82"/>
      <c r="O23" s="82"/>
      <c r="P23" s="82"/>
      <c r="Q23" s="83"/>
      <c r="R23" s="82"/>
      <c r="S23" s="82"/>
      <c r="T23" s="82"/>
      <c r="U23" s="83"/>
      <c r="V23" s="82"/>
      <c r="W23" s="82"/>
      <c r="X23" s="82"/>
      <c r="Y23" s="83"/>
      <c r="Z23" s="82"/>
      <c r="AA23" s="82"/>
      <c r="AB23" s="82"/>
      <c r="AC23" s="83"/>
      <c r="AD23" s="82"/>
      <c r="AE23" s="82"/>
      <c r="AF23" s="82"/>
      <c r="AG23" s="83"/>
      <c r="AH23" s="82"/>
      <c r="AI23" s="82"/>
      <c r="AJ23" s="82"/>
      <c r="AK23" s="83"/>
      <c r="AL23" s="82"/>
      <c r="AM23" s="82"/>
      <c r="AN23" s="82"/>
      <c r="AO23" s="82"/>
      <c r="AP23" s="84" t="str">
        <f t="shared" si="2"/>
        <v/>
      </c>
      <c r="AQ23" s="9"/>
      <c r="AR23" s="9"/>
      <c r="AS23" s="8"/>
      <c r="AT23" s="9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8"/>
      <c r="BX23" s="9"/>
      <c r="BY23" s="9"/>
      <c r="BZ23" s="9"/>
      <c r="CA23" s="33"/>
      <c r="CB23" s="85" t="str">
        <f t="shared" si="3"/>
        <v/>
      </c>
      <c r="CC23" s="86" t="str">
        <f t="shared" si="4"/>
        <v/>
      </c>
      <c r="CD23" s="86" t="str">
        <f t="shared" si="5"/>
        <v/>
      </c>
      <c r="CE23" s="86" t="str">
        <f t="shared" si="6"/>
        <v/>
      </c>
      <c r="CF23" s="86" t="str">
        <f t="shared" si="7"/>
        <v/>
      </c>
      <c r="CG23" s="86" t="str">
        <f t="shared" si="8"/>
        <v/>
      </c>
      <c r="CH23" s="86" t="str">
        <f t="shared" si="9"/>
        <v/>
      </c>
      <c r="CI23" s="86" t="str">
        <f t="shared" si="10"/>
        <v/>
      </c>
      <c r="CJ23" s="86" t="str">
        <f t="shared" si="11"/>
        <v/>
      </c>
      <c r="CK23" s="86" t="str">
        <f t="shared" si="12"/>
        <v/>
      </c>
      <c r="CL23" s="86" t="str">
        <f t="shared" si="13"/>
        <v/>
      </c>
      <c r="CM23" s="87" t="str">
        <f t="shared" si="14"/>
        <v/>
      </c>
      <c r="CN23" s="88" t="str">
        <f t="shared" si="26"/>
        <v/>
      </c>
      <c r="CO23" s="88" t="str">
        <f t="shared" si="15"/>
        <v/>
      </c>
      <c r="CP23" s="88" t="str">
        <f t="shared" si="16"/>
        <v/>
      </c>
      <c r="CQ23" s="88" t="str">
        <f t="shared" si="17"/>
        <v/>
      </c>
      <c r="CR23" s="88" t="str">
        <f t="shared" si="18"/>
        <v/>
      </c>
      <c r="CS23" s="88" t="str">
        <f t="shared" si="19"/>
        <v/>
      </c>
      <c r="CT23" s="88" t="str">
        <f t="shared" si="20"/>
        <v/>
      </c>
      <c r="CU23" s="88" t="str">
        <f t="shared" si="21"/>
        <v/>
      </c>
      <c r="CV23" s="88" t="str">
        <f t="shared" si="22"/>
        <v/>
      </c>
      <c r="CW23" s="88" t="str">
        <f t="shared" si="23"/>
        <v/>
      </c>
      <c r="CX23" s="7"/>
      <c r="CY23" s="7"/>
      <c r="CZ23" s="7"/>
      <c r="DA23" s="8"/>
      <c r="DB23" s="89" t="str">
        <f>IF(DD23&lt;&gt;"","Nov.","")</f>
        <v/>
      </c>
      <c r="DC23" s="90">
        <v>11.0</v>
      </c>
      <c r="DD23" s="91" t="str">
        <f>IFERROR(__xludf.DUMMYFUNCTION("IFERROR(AVERAGE(FILTER(INDIRECT(ADDRESS(13, (MATCH($BB$4, $12:$12, 0))) &amp; "":"" &amp; ADDRESS(1000, (MATCH($BB$4, $12:$12, 0)))), $DW$13:$DW$500 = DC23,$A$13:$A$500 &gt;= $DQ$25,$A$13:$A$500 &lt;= $DQ$26)),"""")
"),"")</f>
        <v/>
      </c>
      <c r="DF23" s="89" t="str">
        <f>$AL$10</f>
        <v/>
      </c>
      <c r="DG23" s="101" t="str">
        <f>IFERROR(__xludf.DUMMYFUNCTION("IFERROR(AVERAGE(FILTER(INDIRECT(ADDRESS(13,(MATCH(DF23,$12:$12,0))) &amp; "":"" &amp; ADDRESS(1000, (MATCH(DF23,$12:$12,0)))),$A$13:$A$500 &gt;= $DQ$25,$A$13:$A$500 &lt;= $DQ$26)),"""")"),"")</f>
        <v/>
      </c>
      <c r="DI23" s="89" t="str">
        <f>IF(DK23=1,$AL$10,"")</f>
        <v/>
      </c>
      <c r="DJ23" s="102" t="str">
        <f t="shared" si="27"/>
        <v/>
      </c>
      <c r="DK23" s="102" t="str">
        <f t="shared" si="28"/>
        <v/>
      </c>
      <c r="DM23" s="89" t="str">
        <f>$AL$10</f>
        <v/>
      </c>
      <c r="DN23" s="101" t="str">
        <f>IFERROR(__xludf.DUMMYFUNCTION("IFERROR(AVERAGE(FILTER(INDIRECT(ADDRESS(13, (MATCH(DM23, $12:$12, 0))) &amp; "":"" &amp; ADDRESS(1000, (MATCH(DM23, $12:$12, 0)))), $A$13:$A$500 &gt; (DATE(YEAR((TODAY()-(30*2))),MONTH((TODAY()-(30*2))),1)))),"""")
"),"")</f>
        <v/>
      </c>
      <c r="DP23" s="102"/>
      <c r="DQ23" s="103">
        <f t="shared" si="29"/>
        <v>2</v>
      </c>
      <c r="DU23" s="93" t="str">
        <f t="shared" si="24"/>
        <v/>
      </c>
      <c r="DV23" s="93" t="str">
        <f>ABA!$A23</f>
        <v/>
      </c>
      <c r="DW23" s="82" t="str">
        <f t="shared" si="25"/>
        <v/>
      </c>
    </row>
    <row r="24">
      <c r="A24" s="94"/>
      <c r="B24" s="95"/>
      <c r="C24" s="98"/>
      <c r="D24" s="98"/>
      <c r="E24" s="99"/>
      <c r="F24" s="98"/>
      <c r="G24" s="98"/>
      <c r="H24" s="98"/>
      <c r="I24" s="99"/>
      <c r="J24" s="98"/>
      <c r="K24" s="98"/>
      <c r="L24" s="98"/>
      <c r="M24" s="99"/>
      <c r="N24" s="98"/>
      <c r="O24" s="98"/>
      <c r="P24" s="98"/>
      <c r="Q24" s="99"/>
      <c r="R24" s="98"/>
      <c r="S24" s="98"/>
      <c r="T24" s="98"/>
      <c r="U24" s="99"/>
      <c r="V24" s="98"/>
      <c r="W24" s="98"/>
      <c r="X24" s="98"/>
      <c r="Y24" s="100"/>
      <c r="Z24" s="98"/>
      <c r="AA24" s="98"/>
      <c r="AB24" s="98"/>
      <c r="AC24" s="99"/>
      <c r="AD24" s="98"/>
      <c r="AE24" s="98"/>
      <c r="AF24" s="98"/>
      <c r="AG24" s="99"/>
      <c r="AH24" s="98"/>
      <c r="AI24" s="98"/>
      <c r="AJ24" s="98"/>
      <c r="AK24" s="99"/>
      <c r="AL24" s="98"/>
      <c r="AM24" s="98"/>
      <c r="AN24" s="98"/>
      <c r="AO24" s="98"/>
      <c r="AP24" s="84" t="str">
        <f t="shared" si="2"/>
        <v/>
      </c>
      <c r="AQ24" s="9"/>
      <c r="AR24" s="9"/>
      <c r="AS24" s="8"/>
      <c r="AT24" s="9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8"/>
      <c r="BX24" s="9"/>
      <c r="BY24" s="9"/>
      <c r="BZ24" s="9"/>
      <c r="CA24" s="33"/>
      <c r="CB24" s="85" t="str">
        <f t="shared" si="3"/>
        <v/>
      </c>
      <c r="CC24" s="86" t="str">
        <f t="shared" si="4"/>
        <v/>
      </c>
      <c r="CD24" s="86" t="str">
        <f t="shared" si="5"/>
        <v/>
      </c>
      <c r="CE24" s="86" t="str">
        <f t="shared" si="6"/>
        <v/>
      </c>
      <c r="CF24" s="86" t="str">
        <f t="shared" si="7"/>
        <v/>
      </c>
      <c r="CG24" s="86" t="str">
        <f t="shared" si="8"/>
        <v/>
      </c>
      <c r="CH24" s="86" t="str">
        <f t="shared" si="9"/>
        <v/>
      </c>
      <c r="CI24" s="86" t="str">
        <f t="shared" si="10"/>
        <v/>
      </c>
      <c r="CJ24" s="86" t="str">
        <f t="shared" si="11"/>
        <v/>
      </c>
      <c r="CK24" s="86" t="str">
        <f t="shared" si="12"/>
        <v/>
      </c>
      <c r="CL24" s="86" t="str">
        <f t="shared" si="13"/>
        <v/>
      </c>
      <c r="CM24" s="87" t="str">
        <f t="shared" si="14"/>
        <v/>
      </c>
      <c r="CN24" s="88" t="str">
        <f t="shared" si="26"/>
        <v/>
      </c>
      <c r="CO24" s="88" t="str">
        <f t="shared" si="15"/>
        <v/>
      </c>
      <c r="CP24" s="88" t="str">
        <f t="shared" si="16"/>
        <v/>
      </c>
      <c r="CQ24" s="88" t="str">
        <f t="shared" si="17"/>
        <v/>
      </c>
      <c r="CR24" s="88" t="str">
        <f t="shared" si="18"/>
        <v/>
      </c>
      <c r="CS24" s="88" t="str">
        <f t="shared" si="19"/>
        <v/>
      </c>
      <c r="CT24" s="88" t="str">
        <f t="shared" si="20"/>
        <v/>
      </c>
      <c r="CU24" s="88" t="str">
        <f t="shared" si="21"/>
        <v/>
      </c>
      <c r="CV24" s="88" t="str">
        <f t="shared" si="22"/>
        <v/>
      </c>
      <c r="CW24" s="88" t="str">
        <f t="shared" si="23"/>
        <v/>
      </c>
      <c r="CX24" s="7"/>
      <c r="CY24" s="7"/>
      <c r="CZ24" s="7"/>
      <c r="DA24" s="8"/>
      <c r="DB24" s="89" t="str">
        <f>IF(DD24&lt;&gt;"","Dez.","")</f>
        <v/>
      </c>
      <c r="DC24" s="90">
        <v>12.0</v>
      </c>
      <c r="DD24" s="91" t="str">
        <f>IFERROR(__xludf.DUMMYFUNCTION("IFERROR(AVERAGE(FILTER(INDIRECT(ADDRESS(13, (MATCH($BB$4, $12:$12, 0))) &amp; "":"" &amp; ADDRESS(1000, (MATCH($BB$4, $12:$12, 0)))), $DW$13:$DW$500 = DC24,$A$13:$A$500 &gt;= $DQ$25,$A$13:$A$500 &lt;= $DQ$26)),"""")
"),"")</f>
        <v/>
      </c>
      <c r="DU24" s="104" t="str">
        <f t="shared" si="24"/>
        <v/>
      </c>
      <c r="DV24" s="104" t="str">
        <f>ABA!$A24</f>
        <v/>
      </c>
      <c r="DW24" s="98" t="str">
        <f t="shared" si="25"/>
        <v/>
      </c>
    </row>
    <row r="25" ht="15.75" customHeight="1">
      <c r="A25" s="78"/>
      <c r="B25" s="79"/>
      <c r="C25" s="82"/>
      <c r="D25" s="82"/>
      <c r="E25" s="83"/>
      <c r="F25" s="82"/>
      <c r="G25" s="82"/>
      <c r="H25" s="82"/>
      <c r="I25" s="83"/>
      <c r="J25" s="82"/>
      <c r="K25" s="82"/>
      <c r="L25" s="82"/>
      <c r="M25" s="83"/>
      <c r="N25" s="82"/>
      <c r="O25" s="82"/>
      <c r="P25" s="82"/>
      <c r="Q25" s="83"/>
      <c r="R25" s="82"/>
      <c r="S25" s="82"/>
      <c r="T25" s="82"/>
      <c r="U25" s="83"/>
      <c r="V25" s="82"/>
      <c r="W25" s="82"/>
      <c r="X25" s="82"/>
      <c r="Y25" s="83"/>
      <c r="Z25" s="82"/>
      <c r="AA25" s="82"/>
      <c r="AB25" s="82"/>
      <c r="AC25" s="83"/>
      <c r="AD25" s="82"/>
      <c r="AE25" s="82"/>
      <c r="AF25" s="82"/>
      <c r="AG25" s="83"/>
      <c r="AH25" s="82"/>
      <c r="AI25" s="82"/>
      <c r="AJ25" s="82"/>
      <c r="AK25" s="83"/>
      <c r="AL25" s="82"/>
      <c r="AM25" s="82"/>
      <c r="AN25" s="82"/>
      <c r="AO25" s="82"/>
      <c r="AP25" s="84" t="str">
        <f t="shared" si="2"/>
        <v/>
      </c>
      <c r="AQ25" s="9"/>
      <c r="AR25" s="9"/>
      <c r="AS25" s="8"/>
      <c r="AT25" s="9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8"/>
      <c r="BX25" s="9"/>
      <c r="BY25" s="9"/>
      <c r="BZ25" s="9"/>
      <c r="CA25" s="33"/>
      <c r="CB25" s="85" t="str">
        <f t="shared" si="3"/>
        <v/>
      </c>
      <c r="CC25" s="86" t="str">
        <f t="shared" si="4"/>
        <v/>
      </c>
      <c r="CD25" s="86" t="str">
        <f t="shared" si="5"/>
        <v/>
      </c>
      <c r="CE25" s="86" t="str">
        <f t="shared" si="6"/>
        <v/>
      </c>
      <c r="CF25" s="86" t="str">
        <f t="shared" si="7"/>
        <v/>
      </c>
      <c r="CG25" s="86" t="str">
        <f t="shared" si="8"/>
        <v/>
      </c>
      <c r="CH25" s="86" t="str">
        <f t="shared" si="9"/>
        <v/>
      </c>
      <c r="CI25" s="86" t="str">
        <f t="shared" si="10"/>
        <v/>
      </c>
      <c r="CJ25" s="86" t="str">
        <f t="shared" si="11"/>
        <v/>
      </c>
      <c r="CK25" s="86" t="str">
        <f t="shared" si="12"/>
        <v/>
      </c>
      <c r="CL25" s="86" t="str">
        <f t="shared" si="13"/>
        <v/>
      </c>
      <c r="CM25" s="87" t="str">
        <f t="shared" si="14"/>
        <v/>
      </c>
      <c r="CN25" s="88" t="str">
        <f t="shared" si="26"/>
        <v/>
      </c>
      <c r="CO25" s="88" t="str">
        <f t="shared" si="15"/>
        <v/>
      </c>
      <c r="CP25" s="88" t="str">
        <f t="shared" si="16"/>
        <v/>
      </c>
      <c r="CQ25" s="88" t="str">
        <f t="shared" si="17"/>
        <v/>
      </c>
      <c r="CR25" s="88" t="str">
        <f t="shared" si="18"/>
        <v/>
      </c>
      <c r="CS25" s="88" t="str">
        <f t="shared" si="19"/>
        <v/>
      </c>
      <c r="CT25" s="88" t="str">
        <f t="shared" si="20"/>
        <v/>
      </c>
      <c r="CU25" s="88" t="str">
        <f t="shared" si="21"/>
        <v/>
      </c>
      <c r="CV25" s="88" t="str">
        <f t="shared" si="22"/>
        <v/>
      </c>
      <c r="CW25" s="88" t="str">
        <f t="shared" si="23"/>
        <v/>
      </c>
      <c r="CX25" s="7"/>
      <c r="CY25" s="7"/>
      <c r="CZ25" s="7"/>
      <c r="DA25" s="8"/>
      <c r="DP25" s="89" t="s">
        <v>45</v>
      </c>
      <c r="DQ25" s="106">
        <f t="array" ref="DQ25">INDEX(DP13:DQ23,MATCH(AU4,DP13:DP23,0),2)</f>
        <v>2</v>
      </c>
      <c r="DU25" s="93" t="str">
        <f t="shared" si="24"/>
        <v/>
      </c>
      <c r="DV25" s="93" t="str">
        <f>ABA!$A25</f>
        <v/>
      </c>
      <c r="DW25" s="82" t="str">
        <f t="shared" si="25"/>
        <v/>
      </c>
    </row>
    <row r="26" ht="15.75" customHeight="1">
      <c r="A26" s="85"/>
      <c r="B26" s="107"/>
      <c r="C26" s="98"/>
      <c r="D26" s="98"/>
      <c r="E26" s="99"/>
      <c r="F26" s="98"/>
      <c r="G26" s="98"/>
      <c r="H26" s="98"/>
      <c r="I26" s="99"/>
      <c r="J26" s="98"/>
      <c r="K26" s="98"/>
      <c r="L26" s="98"/>
      <c r="M26" s="99"/>
      <c r="N26" s="98"/>
      <c r="O26" s="98"/>
      <c r="P26" s="98"/>
      <c r="Q26" s="99"/>
      <c r="R26" s="98"/>
      <c r="S26" s="98"/>
      <c r="T26" s="98"/>
      <c r="U26" s="99"/>
      <c r="V26" s="98"/>
      <c r="W26" s="98"/>
      <c r="X26" s="98"/>
      <c r="Y26" s="100"/>
      <c r="Z26" s="98"/>
      <c r="AA26" s="98"/>
      <c r="AB26" s="98"/>
      <c r="AC26" s="99"/>
      <c r="AD26" s="98"/>
      <c r="AE26" s="98"/>
      <c r="AF26" s="98"/>
      <c r="AG26" s="99"/>
      <c r="AH26" s="98"/>
      <c r="AI26" s="98"/>
      <c r="AJ26" s="98"/>
      <c r="AK26" s="99"/>
      <c r="AL26" s="98"/>
      <c r="AM26" s="98"/>
      <c r="AN26" s="98"/>
      <c r="AO26" s="98"/>
      <c r="AP26" s="84" t="str">
        <f t="shared" si="2"/>
        <v/>
      </c>
      <c r="AQ26" s="9"/>
      <c r="AR26" s="9"/>
      <c r="AS26" s="8"/>
      <c r="AT26" s="9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8"/>
      <c r="BX26" s="9"/>
      <c r="BY26" s="9"/>
      <c r="BZ26" s="9"/>
      <c r="CA26" s="33"/>
      <c r="CB26" s="85" t="str">
        <f t="shared" si="3"/>
        <v/>
      </c>
      <c r="CC26" s="86" t="str">
        <f t="shared" si="4"/>
        <v/>
      </c>
      <c r="CD26" s="86" t="str">
        <f t="shared" si="5"/>
        <v/>
      </c>
      <c r="CE26" s="86" t="str">
        <f t="shared" si="6"/>
        <v/>
      </c>
      <c r="CF26" s="86" t="str">
        <f t="shared" si="7"/>
        <v/>
      </c>
      <c r="CG26" s="86" t="str">
        <f t="shared" si="8"/>
        <v/>
      </c>
      <c r="CH26" s="86" t="str">
        <f t="shared" si="9"/>
        <v/>
      </c>
      <c r="CI26" s="86" t="str">
        <f t="shared" si="10"/>
        <v/>
      </c>
      <c r="CJ26" s="86" t="str">
        <f t="shared" si="11"/>
        <v/>
      </c>
      <c r="CK26" s="86" t="str">
        <f t="shared" si="12"/>
        <v/>
      </c>
      <c r="CL26" s="86" t="str">
        <f t="shared" si="13"/>
        <v/>
      </c>
      <c r="CM26" s="87" t="str">
        <f t="shared" si="14"/>
        <v/>
      </c>
      <c r="CN26" s="88" t="str">
        <f t="shared" si="26"/>
        <v/>
      </c>
      <c r="CO26" s="88" t="str">
        <f t="shared" si="15"/>
        <v/>
      </c>
      <c r="CP26" s="88" t="str">
        <f t="shared" si="16"/>
        <v/>
      </c>
      <c r="CQ26" s="88" t="str">
        <f t="shared" si="17"/>
        <v/>
      </c>
      <c r="CR26" s="88" t="str">
        <f t="shared" si="18"/>
        <v/>
      </c>
      <c r="CS26" s="88" t="str">
        <f t="shared" si="19"/>
        <v/>
      </c>
      <c r="CT26" s="88" t="str">
        <f t="shared" si="20"/>
        <v/>
      </c>
      <c r="CU26" s="88" t="str">
        <f t="shared" si="21"/>
        <v/>
      </c>
      <c r="CV26" s="88" t="str">
        <f t="shared" si="22"/>
        <v/>
      </c>
      <c r="CW26" s="88" t="str">
        <f t="shared" si="23"/>
        <v/>
      </c>
      <c r="CX26" s="7"/>
      <c r="CY26" s="7"/>
      <c r="CZ26" s="7"/>
      <c r="DA26" s="8"/>
      <c r="DP26" s="89" t="s">
        <v>46</v>
      </c>
      <c r="DQ26" s="103">
        <f>IF(OR(DQ25=DATE(1900,1,1),AU4=DP14),TODAY(),DATE(YEAR(DQ25),12,31))</f>
        <v>46245</v>
      </c>
      <c r="DU26" s="104" t="str">
        <f t="shared" si="24"/>
        <v/>
      </c>
      <c r="DV26" s="104" t="str">
        <f>ABA!$A26</f>
        <v/>
      </c>
      <c r="DW26" s="98" t="str">
        <f t="shared" si="25"/>
        <v/>
      </c>
    </row>
    <row r="27" ht="15.75" customHeight="1">
      <c r="A27" s="78"/>
      <c r="B27" s="105"/>
      <c r="C27" s="82"/>
      <c r="D27" s="82"/>
      <c r="E27" s="83"/>
      <c r="F27" s="82"/>
      <c r="G27" s="82"/>
      <c r="H27" s="82"/>
      <c r="I27" s="83"/>
      <c r="J27" s="82"/>
      <c r="K27" s="82"/>
      <c r="L27" s="82"/>
      <c r="M27" s="83"/>
      <c r="N27" s="82"/>
      <c r="O27" s="82"/>
      <c r="P27" s="82"/>
      <c r="Q27" s="83"/>
      <c r="R27" s="82"/>
      <c r="S27" s="82"/>
      <c r="T27" s="82"/>
      <c r="U27" s="83"/>
      <c r="V27" s="82"/>
      <c r="W27" s="82"/>
      <c r="X27" s="82"/>
      <c r="Y27" s="83"/>
      <c r="Z27" s="82"/>
      <c r="AA27" s="82"/>
      <c r="AB27" s="82"/>
      <c r="AC27" s="83"/>
      <c r="AD27" s="82"/>
      <c r="AE27" s="82"/>
      <c r="AF27" s="82"/>
      <c r="AG27" s="83"/>
      <c r="AH27" s="82"/>
      <c r="AI27" s="82"/>
      <c r="AJ27" s="82"/>
      <c r="AK27" s="83"/>
      <c r="AL27" s="82"/>
      <c r="AM27" s="82"/>
      <c r="AN27" s="82"/>
      <c r="AO27" s="82"/>
      <c r="AP27" s="84" t="str">
        <f t="shared" si="2"/>
        <v/>
      </c>
      <c r="AQ27" s="9"/>
      <c r="AR27" s="9"/>
      <c r="AS27" s="8"/>
      <c r="AT27" s="9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108"/>
      <c r="BP27" s="7"/>
      <c r="BQ27" s="7"/>
      <c r="BR27" s="7"/>
      <c r="BS27" s="7"/>
      <c r="BT27" s="7"/>
      <c r="BU27" s="7"/>
      <c r="BV27" s="7"/>
      <c r="BW27" s="8"/>
      <c r="BX27" s="9"/>
      <c r="BY27" s="9"/>
      <c r="BZ27" s="9"/>
      <c r="CA27" s="33"/>
      <c r="CB27" s="85" t="str">
        <f t="shared" si="3"/>
        <v/>
      </c>
      <c r="CC27" s="86" t="str">
        <f t="shared" si="4"/>
        <v/>
      </c>
      <c r="CD27" s="86" t="str">
        <f t="shared" si="5"/>
        <v/>
      </c>
      <c r="CE27" s="86" t="str">
        <f t="shared" si="6"/>
        <v/>
      </c>
      <c r="CF27" s="86" t="str">
        <f t="shared" si="7"/>
        <v/>
      </c>
      <c r="CG27" s="86" t="str">
        <f t="shared" si="8"/>
        <v/>
      </c>
      <c r="CH27" s="86" t="str">
        <f t="shared" si="9"/>
        <v/>
      </c>
      <c r="CI27" s="86" t="str">
        <f t="shared" si="10"/>
        <v/>
      </c>
      <c r="CJ27" s="86" t="str">
        <f t="shared" si="11"/>
        <v/>
      </c>
      <c r="CK27" s="86" t="str">
        <f t="shared" si="12"/>
        <v/>
      </c>
      <c r="CL27" s="86" t="str">
        <f t="shared" si="13"/>
        <v/>
      </c>
      <c r="CM27" s="87" t="str">
        <f t="shared" si="14"/>
        <v/>
      </c>
      <c r="CN27" s="88" t="str">
        <f t="shared" si="26"/>
        <v/>
      </c>
      <c r="CO27" s="88" t="str">
        <f t="shared" si="15"/>
        <v/>
      </c>
      <c r="CP27" s="88" t="str">
        <f t="shared" si="16"/>
        <v/>
      </c>
      <c r="CQ27" s="88" t="str">
        <f t="shared" si="17"/>
        <v/>
      </c>
      <c r="CR27" s="88" t="str">
        <f t="shared" si="18"/>
        <v/>
      </c>
      <c r="CS27" s="88" t="str">
        <f t="shared" si="19"/>
        <v/>
      </c>
      <c r="CT27" s="88" t="str">
        <f t="shared" si="20"/>
        <v/>
      </c>
      <c r="CU27" s="88" t="str">
        <f t="shared" si="21"/>
        <v/>
      </c>
      <c r="CV27" s="88" t="str">
        <f t="shared" si="22"/>
        <v/>
      </c>
      <c r="CW27" s="88" t="str">
        <f t="shared" si="23"/>
        <v/>
      </c>
      <c r="CX27" s="7"/>
      <c r="CY27" s="7"/>
      <c r="CZ27" s="7"/>
      <c r="DA27" s="8"/>
      <c r="DB27" s="89" t="str">
        <f>IF(DD27&lt;&gt;"","Jan.","")</f>
        <v>Jan.</v>
      </c>
      <c r="DC27" s="90">
        <v>1.0</v>
      </c>
      <c r="DD27" s="101">
        <f>IFERROR(__xludf.DUMMYFUNCTION("IFERROR(AVERAGE(FILTER($AP$13:$AP$500,$A$13:$A$500&gt;=$DQ$25,$A$13:$A$500&lt;=$DQ$26,$DW$13:$DW$500=DC27)),"""")"),0.8027777777777777)</f>
        <v>0.8027777778</v>
      </c>
      <c r="DU27" s="93" t="str">
        <f t="shared" si="24"/>
        <v/>
      </c>
      <c r="DV27" s="93" t="str">
        <f>ABA!$A27</f>
        <v/>
      </c>
      <c r="DW27" s="82" t="str">
        <f t="shared" si="25"/>
        <v/>
      </c>
    </row>
    <row r="28" ht="15.75" customHeight="1">
      <c r="A28" s="85"/>
      <c r="B28" s="107"/>
      <c r="C28" s="98"/>
      <c r="D28" s="98"/>
      <c r="E28" s="99"/>
      <c r="F28" s="98"/>
      <c r="G28" s="98"/>
      <c r="H28" s="98"/>
      <c r="I28" s="99"/>
      <c r="J28" s="98"/>
      <c r="K28" s="98"/>
      <c r="L28" s="98"/>
      <c r="M28" s="99"/>
      <c r="N28" s="98"/>
      <c r="O28" s="98"/>
      <c r="P28" s="98"/>
      <c r="Q28" s="99"/>
      <c r="R28" s="98"/>
      <c r="S28" s="98"/>
      <c r="T28" s="98"/>
      <c r="U28" s="99"/>
      <c r="V28" s="98"/>
      <c r="W28" s="98"/>
      <c r="X28" s="98"/>
      <c r="Y28" s="100"/>
      <c r="Z28" s="98"/>
      <c r="AA28" s="98"/>
      <c r="AB28" s="98"/>
      <c r="AC28" s="99"/>
      <c r="AD28" s="98"/>
      <c r="AE28" s="98"/>
      <c r="AF28" s="98"/>
      <c r="AG28" s="99"/>
      <c r="AH28" s="98"/>
      <c r="AI28" s="98"/>
      <c r="AJ28" s="98"/>
      <c r="AK28" s="99"/>
      <c r="AL28" s="98"/>
      <c r="AM28" s="98"/>
      <c r="AN28" s="98"/>
      <c r="AO28" s="98"/>
      <c r="AP28" s="84" t="str">
        <f t="shared" si="2"/>
        <v/>
      </c>
      <c r="AQ28" s="9"/>
      <c r="AR28" s="9"/>
      <c r="AS28" s="8"/>
      <c r="AT28" s="9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108"/>
      <c r="BP28" s="7"/>
      <c r="BQ28" s="7"/>
      <c r="BR28" s="7"/>
      <c r="BS28" s="7"/>
      <c r="BT28" s="7"/>
      <c r="BU28" s="7"/>
      <c r="BV28" s="7"/>
      <c r="BW28" s="8"/>
      <c r="BX28" s="9"/>
      <c r="BY28" s="9"/>
      <c r="BZ28" s="9"/>
      <c r="CA28" s="33"/>
      <c r="CB28" s="85" t="str">
        <f t="shared" si="3"/>
        <v/>
      </c>
      <c r="CC28" s="86" t="str">
        <f t="shared" si="4"/>
        <v/>
      </c>
      <c r="CD28" s="86" t="str">
        <f t="shared" si="5"/>
        <v/>
      </c>
      <c r="CE28" s="86" t="str">
        <f t="shared" si="6"/>
        <v/>
      </c>
      <c r="CF28" s="86" t="str">
        <f t="shared" si="7"/>
        <v/>
      </c>
      <c r="CG28" s="86" t="str">
        <f t="shared" si="8"/>
        <v/>
      </c>
      <c r="CH28" s="86" t="str">
        <f t="shared" si="9"/>
        <v/>
      </c>
      <c r="CI28" s="86" t="str">
        <f t="shared" si="10"/>
        <v/>
      </c>
      <c r="CJ28" s="86" t="str">
        <f t="shared" si="11"/>
        <v/>
      </c>
      <c r="CK28" s="86" t="str">
        <f t="shared" si="12"/>
        <v/>
      </c>
      <c r="CL28" s="86" t="str">
        <f t="shared" si="13"/>
        <v/>
      </c>
      <c r="CM28" s="87" t="str">
        <f t="shared" si="14"/>
        <v/>
      </c>
      <c r="CN28" s="88" t="str">
        <f t="shared" si="26"/>
        <v/>
      </c>
      <c r="CO28" s="88" t="str">
        <f t="shared" si="15"/>
        <v/>
      </c>
      <c r="CP28" s="88" t="str">
        <f t="shared" si="16"/>
        <v/>
      </c>
      <c r="CQ28" s="88" t="str">
        <f t="shared" si="17"/>
        <v/>
      </c>
      <c r="CR28" s="88" t="str">
        <f t="shared" si="18"/>
        <v/>
      </c>
      <c r="CS28" s="88" t="str">
        <f t="shared" si="19"/>
        <v/>
      </c>
      <c r="CT28" s="88" t="str">
        <f t="shared" si="20"/>
        <v/>
      </c>
      <c r="CU28" s="88" t="str">
        <f t="shared" si="21"/>
        <v/>
      </c>
      <c r="CV28" s="88" t="str">
        <f t="shared" si="22"/>
        <v/>
      </c>
      <c r="CW28" s="88" t="str">
        <f t="shared" si="23"/>
        <v/>
      </c>
      <c r="CX28" s="7"/>
      <c r="CY28" s="7"/>
      <c r="CZ28" s="7"/>
      <c r="DA28" s="8"/>
      <c r="DB28" s="89" t="str">
        <f>IF(DD28&lt;&gt;"","Fev.","")</f>
        <v>Fev.</v>
      </c>
      <c r="DC28" s="90">
        <v>2.0</v>
      </c>
      <c r="DD28" s="101">
        <f>IFERROR(__xludf.DUMMYFUNCTION("IFERROR(AVERAGE(FILTER($AP$13:$AP$500,$A$13:$A$500&gt;=$DQ$25,$A$13:$A$500&lt;=$DQ$26,$DW$13:$DW$500=DC28)),"""")"),0.9199999999999999)</f>
        <v>0.92</v>
      </c>
      <c r="DU28" s="104" t="str">
        <f t="shared" si="24"/>
        <v/>
      </c>
      <c r="DV28" s="104" t="str">
        <f>ABA!$A28</f>
        <v/>
      </c>
      <c r="DW28" s="98" t="str">
        <f t="shared" si="25"/>
        <v/>
      </c>
    </row>
    <row r="29" ht="15.75" customHeight="1">
      <c r="A29" s="78"/>
      <c r="B29" s="105"/>
      <c r="C29" s="82"/>
      <c r="D29" s="82"/>
      <c r="E29" s="83"/>
      <c r="F29" s="82"/>
      <c r="G29" s="82"/>
      <c r="H29" s="82"/>
      <c r="I29" s="83"/>
      <c r="J29" s="82"/>
      <c r="K29" s="82"/>
      <c r="L29" s="82"/>
      <c r="M29" s="83"/>
      <c r="N29" s="82"/>
      <c r="O29" s="82"/>
      <c r="P29" s="82"/>
      <c r="Q29" s="83"/>
      <c r="R29" s="82"/>
      <c r="S29" s="82"/>
      <c r="T29" s="82"/>
      <c r="U29" s="83"/>
      <c r="V29" s="82"/>
      <c r="W29" s="82"/>
      <c r="X29" s="82"/>
      <c r="Y29" s="83"/>
      <c r="Z29" s="82"/>
      <c r="AA29" s="82"/>
      <c r="AB29" s="82"/>
      <c r="AC29" s="83"/>
      <c r="AD29" s="82"/>
      <c r="AE29" s="82"/>
      <c r="AF29" s="82"/>
      <c r="AG29" s="83"/>
      <c r="AH29" s="82"/>
      <c r="AI29" s="82"/>
      <c r="AJ29" s="82"/>
      <c r="AK29" s="83"/>
      <c r="AL29" s="82"/>
      <c r="AM29" s="82"/>
      <c r="AN29" s="82"/>
      <c r="AO29" s="82"/>
      <c r="AP29" s="84" t="str">
        <f t="shared" si="2"/>
        <v/>
      </c>
      <c r="AQ29" s="9"/>
      <c r="AR29" s="9"/>
      <c r="AS29" s="8"/>
      <c r="AT29" s="9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108"/>
      <c r="BP29" s="7"/>
      <c r="BQ29" s="7"/>
      <c r="BR29" s="7"/>
      <c r="BS29" s="7"/>
      <c r="BT29" s="7"/>
      <c r="BU29" s="7"/>
      <c r="BV29" s="7"/>
      <c r="BW29" s="8"/>
      <c r="BX29" s="9"/>
      <c r="BY29" s="9"/>
      <c r="BZ29" s="9"/>
      <c r="CA29" s="33"/>
      <c r="CB29" s="85" t="str">
        <f t="shared" si="3"/>
        <v/>
      </c>
      <c r="CC29" s="86" t="str">
        <f t="shared" si="4"/>
        <v/>
      </c>
      <c r="CD29" s="86" t="str">
        <f t="shared" si="5"/>
        <v/>
      </c>
      <c r="CE29" s="86" t="str">
        <f t="shared" si="6"/>
        <v/>
      </c>
      <c r="CF29" s="86" t="str">
        <f t="shared" si="7"/>
        <v/>
      </c>
      <c r="CG29" s="86" t="str">
        <f t="shared" si="8"/>
        <v/>
      </c>
      <c r="CH29" s="86" t="str">
        <f t="shared" si="9"/>
        <v/>
      </c>
      <c r="CI29" s="86" t="str">
        <f t="shared" si="10"/>
        <v/>
      </c>
      <c r="CJ29" s="86" t="str">
        <f t="shared" si="11"/>
        <v/>
      </c>
      <c r="CK29" s="86" t="str">
        <f t="shared" si="12"/>
        <v/>
      </c>
      <c r="CL29" s="86" t="str">
        <f t="shared" si="13"/>
        <v/>
      </c>
      <c r="CM29" s="87" t="str">
        <f t="shared" si="14"/>
        <v/>
      </c>
      <c r="CN29" s="88" t="str">
        <f t="shared" si="26"/>
        <v/>
      </c>
      <c r="CO29" s="88" t="str">
        <f t="shared" si="15"/>
        <v/>
      </c>
      <c r="CP29" s="88" t="str">
        <f t="shared" si="16"/>
        <v/>
      </c>
      <c r="CQ29" s="88" t="str">
        <f t="shared" si="17"/>
        <v/>
      </c>
      <c r="CR29" s="88" t="str">
        <f t="shared" si="18"/>
        <v/>
      </c>
      <c r="CS29" s="88" t="str">
        <f t="shared" si="19"/>
        <v/>
      </c>
      <c r="CT29" s="88" t="str">
        <f t="shared" si="20"/>
        <v/>
      </c>
      <c r="CU29" s="88" t="str">
        <f t="shared" si="21"/>
        <v/>
      </c>
      <c r="CV29" s="88" t="str">
        <f t="shared" si="22"/>
        <v/>
      </c>
      <c r="CW29" s="88" t="str">
        <f t="shared" si="23"/>
        <v/>
      </c>
      <c r="CX29" s="7"/>
      <c r="CY29" s="7"/>
      <c r="CZ29" s="7"/>
      <c r="DA29" s="8"/>
      <c r="DB29" s="89" t="str">
        <f>IF(DD29&lt;&gt;"","Mar.","")</f>
        <v>Mar.</v>
      </c>
      <c r="DC29" s="90">
        <v>3.0</v>
      </c>
      <c r="DD29" s="101">
        <f>IFERROR(__xludf.DUMMYFUNCTION("IFERROR(AVERAGE(FILTER($AP$13:$AP$500,$A$13:$A$500&gt;=$DQ$25,$A$13:$A$500&lt;=$DQ$26,$DW$13:$DW$500=DC29)),"""")"),0.725)</f>
        <v>0.725</v>
      </c>
      <c r="DU29" s="93" t="str">
        <f t="shared" si="24"/>
        <v/>
      </c>
      <c r="DV29" s="93" t="str">
        <f>ABA!$A29</f>
        <v/>
      </c>
      <c r="DW29" s="82" t="str">
        <f t="shared" si="25"/>
        <v/>
      </c>
    </row>
    <row r="30" ht="15.75" customHeight="1">
      <c r="A30" s="85"/>
      <c r="B30" s="107"/>
      <c r="C30" s="98"/>
      <c r="D30" s="98"/>
      <c r="E30" s="99"/>
      <c r="F30" s="98"/>
      <c r="G30" s="98"/>
      <c r="H30" s="98"/>
      <c r="I30" s="99"/>
      <c r="J30" s="98"/>
      <c r="K30" s="98"/>
      <c r="L30" s="98"/>
      <c r="M30" s="99"/>
      <c r="N30" s="98"/>
      <c r="O30" s="98"/>
      <c r="P30" s="98"/>
      <c r="Q30" s="99"/>
      <c r="R30" s="98"/>
      <c r="S30" s="98"/>
      <c r="T30" s="98"/>
      <c r="U30" s="99"/>
      <c r="V30" s="98"/>
      <c r="W30" s="98"/>
      <c r="X30" s="98"/>
      <c r="Y30" s="100"/>
      <c r="Z30" s="98"/>
      <c r="AA30" s="98"/>
      <c r="AB30" s="98"/>
      <c r="AC30" s="99"/>
      <c r="AD30" s="98"/>
      <c r="AE30" s="98"/>
      <c r="AF30" s="98"/>
      <c r="AG30" s="99"/>
      <c r="AH30" s="98"/>
      <c r="AI30" s="98"/>
      <c r="AJ30" s="98"/>
      <c r="AK30" s="99"/>
      <c r="AL30" s="98"/>
      <c r="AM30" s="98"/>
      <c r="AN30" s="98"/>
      <c r="AO30" s="98"/>
      <c r="AP30" s="84" t="str">
        <f t="shared" si="2"/>
        <v/>
      </c>
      <c r="AQ30" s="9"/>
      <c r="AR30" s="9"/>
      <c r="AS30" s="8"/>
      <c r="AT30" s="9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8"/>
      <c r="BX30" s="9"/>
      <c r="BY30" s="9"/>
      <c r="BZ30" s="9"/>
      <c r="CA30" s="33"/>
      <c r="CB30" s="85" t="str">
        <f t="shared" si="3"/>
        <v/>
      </c>
      <c r="CC30" s="86" t="str">
        <f t="shared" si="4"/>
        <v/>
      </c>
      <c r="CD30" s="86" t="str">
        <f t="shared" si="5"/>
        <v/>
      </c>
      <c r="CE30" s="86" t="str">
        <f t="shared" si="6"/>
        <v/>
      </c>
      <c r="CF30" s="86" t="str">
        <f t="shared" si="7"/>
        <v/>
      </c>
      <c r="CG30" s="86" t="str">
        <f t="shared" si="8"/>
        <v/>
      </c>
      <c r="CH30" s="86" t="str">
        <f t="shared" si="9"/>
        <v/>
      </c>
      <c r="CI30" s="86" t="str">
        <f t="shared" si="10"/>
        <v/>
      </c>
      <c r="CJ30" s="86" t="str">
        <f t="shared" si="11"/>
        <v/>
      </c>
      <c r="CK30" s="86" t="str">
        <f t="shared" si="12"/>
        <v/>
      </c>
      <c r="CL30" s="86" t="str">
        <f t="shared" si="13"/>
        <v/>
      </c>
      <c r="CM30" s="87" t="str">
        <f t="shared" si="14"/>
        <v/>
      </c>
      <c r="CN30" s="88" t="str">
        <f t="shared" si="26"/>
        <v/>
      </c>
      <c r="CO30" s="88" t="str">
        <f t="shared" si="15"/>
        <v/>
      </c>
      <c r="CP30" s="88" t="str">
        <f t="shared" si="16"/>
        <v/>
      </c>
      <c r="CQ30" s="88" t="str">
        <f t="shared" si="17"/>
        <v/>
      </c>
      <c r="CR30" s="88" t="str">
        <f t="shared" si="18"/>
        <v/>
      </c>
      <c r="CS30" s="88" t="str">
        <f t="shared" si="19"/>
        <v/>
      </c>
      <c r="CT30" s="88" t="str">
        <f t="shared" si="20"/>
        <v/>
      </c>
      <c r="CU30" s="88" t="str">
        <f t="shared" si="21"/>
        <v/>
      </c>
      <c r="CV30" s="88" t="str">
        <f t="shared" si="22"/>
        <v/>
      </c>
      <c r="CW30" s="88" t="str">
        <f t="shared" si="23"/>
        <v/>
      </c>
      <c r="CX30" s="7"/>
      <c r="CY30" s="7"/>
      <c r="CZ30" s="7"/>
      <c r="DA30" s="8"/>
      <c r="DB30" s="89" t="str">
        <f>IF(DD30&lt;&gt;"","Abr.","")</f>
        <v>Abr.</v>
      </c>
      <c r="DC30" s="90">
        <v>4.0</v>
      </c>
      <c r="DD30" s="101">
        <f>IFERROR(__xludf.DUMMYFUNCTION("IFERROR(AVERAGE(FILTER($AP$13:$AP$500,$A$13:$A$500&gt;=$DQ$25,$A$13:$A$500&lt;=$DQ$26,$DW$13:$DW$500=DC30)),"""")"),0.7891666666666667)</f>
        <v>0.7891666667</v>
      </c>
      <c r="DU30" s="104" t="str">
        <f t="shared" si="24"/>
        <v/>
      </c>
      <c r="DV30" s="104" t="str">
        <f>ABA!$A30</f>
        <v/>
      </c>
      <c r="DW30" s="98" t="str">
        <f t="shared" si="25"/>
        <v/>
      </c>
    </row>
    <row r="31" ht="15.75" customHeight="1">
      <c r="A31" s="78"/>
      <c r="B31" s="105"/>
      <c r="C31" s="82"/>
      <c r="D31" s="82"/>
      <c r="E31" s="83"/>
      <c r="F31" s="82"/>
      <c r="G31" s="82"/>
      <c r="H31" s="82"/>
      <c r="I31" s="83"/>
      <c r="J31" s="82"/>
      <c r="K31" s="82"/>
      <c r="L31" s="82"/>
      <c r="M31" s="83"/>
      <c r="N31" s="82"/>
      <c r="O31" s="82"/>
      <c r="P31" s="82"/>
      <c r="Q31" s="83"/>
      <c r="R31" s="82"/>
      <c r="S31" s="82"/>
      <c r="T31" s="82"/>
      <c r="U31" s="83"/>
      <c r="V31" s="82"/>
      <c r="W31" s="82"/>
      <c r="X31" s="82"/>
      <c r="Y31" s="83"/>
      <c r="Z31" s="82"/>
      <c r="AA31" s="82"/>
      <c r="AB31" s="82"/>
      <c r="AC31" s="83"/>
      <c r="AD31" s="82"/>
      <c r="AE31" s="82"/>
      <c r="AF31" s="82"/>
      <c r="AG31" s="83"/>
      <c r="AH31" s="82"/>
      <c r="AI31" s="82"/>
      <c r="AJ31" s="82"/>
      <c r="AK31" s="83"/>
      <c r="AL31" s="82"/>
      <c r="AM31" s="82"/>
      <c r="AN31" s="82"/>
      <c r="AO31" s="82"/>
      <c r="AP31" s="84" t="str">
        <f t="shared" si="2"/>
        <v/>
      </c>
      <c r="AQ31" s="9"/>
      <c r="AR31" s="9"/>
      <c r="AS31" s="8"/>
      <c r="AT31" s="9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8"/>
      <c r="BX31" s="9"/>
      <c r="BY31" s="9"/>
      <c r="BZ31" s="9"/>
      <c r="CA31" s="33"/>
      <c r="CB31" s="85" t="str">
        <f t="shared" si="3"/>
        <v/>
      </c>
      <c r="CC31" s="86" t="str">
        <f t="shared" si="4"/>
        <v/>
      </c>
      <c r="CD31" s="86" t="str">
        <f t="shared" si="5"/>
        <v/>
      </c>
      <c r="CE31" s="86" t="str">
        <f t="shared" si="6"/>
        <v/>
      </c>
      <c r="CF31" s="86" t="str">
        <f t="shared" si="7"/>
        <v/>
      </c>
      <c r="CG31" s="86" t="str">
        <f t="shared" si="8"/>
        <v/>
      </c>
      <c r="CH31" s="86" t="str">
        <f t="shared" si="9"/>
        <v/>
      </c>
      <c r="CI31" s="86" t="str">
        <f t="shared" si="10"/>
        <v/>
      </c>
      <c r="CJ31" s="86" t="str">
        <f t="shared" si="11"/>
        <v/>
      </c>
      <c r="CK31" s="86" t="str">
        <f t="shared" si="12"/>
        <v/>
      </c>
      <c r="CL31" s="86" t="str">
        <f t="shared" si="13"/>
        <v/>
      </c>
      <c r="CM31" s="87" t="str">
        <f t="shared" si="14"/>
        <v/>
      </c>
      <c r="CN31" s="88" t="str">
        <f t="shared" si="26"/>
        <v/>
      </c>
      <c r="CO31" s="88" t="str">
        <f t="shared" si="15"/>
        <v/>
      </c>
      <c r="CP31" s="88" t="str">
        <f t="shared" si="16"/>
        <v/>
      </c>
      <c r="CQ31" s="88" t="str">
        <f t="shared" si="17"/>
        <v/>
      </c>
      <c r="CR31" s="88" t="str">
        <f t="shared" si="18"/>
        <v/>
      </c>
      <c r="CS31" s="88" t="str">
        <f t="shared" si="19"/>
        <v/>
      </c>
      <c r="CT31" s="88" t="str">
        <f t="shared" si="20"/>
        <v/>
      </c>
      <c r="CU31" s="88" t="str">
        <f t="shared" si="21"/>
        <v/>
      </c>
      <c r="CV31" s="88" t="str">
        <f t="shared" si="22"/>
        <v/>
      </c>
      <c r="CW31" s="88" t="str">
        <f t="shared" si="23"/>
        <v/>
      </c>
      <c r="CX31" s="7"/>
      <c r="CY31" s="7"/>
      <c r="CZ31" s="7"/>
      <c r="DA31" s="8"/>
      <c r="DB31" s="89" t="str">
        <f>IF(DD31&lt;&gt;"","Mai.","")</f>
        <v/>
      </c>
      <c r="DC31" s="90">
        <v>5.0</v>
      </c>
      <c r="DD31" s="101" t="str">
        <f>IFERROR(__xludf.DUMMYFUNCTION("IFERROR(AVERAGE(FILTER($AP$13:$AP$500,$A$13:$A$500&gt;=$DQ$25,$A$13:$A$500&lt;=$DQ$26,$DW$13:$DW$500=DC31)),"""")"),"")</f>
        <v/>
      </c>
      <c r="DU31" s="93" t="str">
        <f t="shared" si="24"/>
        <v/>
      </c>
      <c r="DV31" s="93" t="str">
        <f>ABA!$A31</f>
        <v/>
      </c>
      <c r="DW31" s="82" t="str">
        <f t="shared" si="25"/>
        <v/>
      </c>
    </row>
    <row r="32" ht="15.75" customHeight="1">
      <c r="A32" s="85"/>
      <c r="B32" s="107"/>
      <c r="C32" s="98"/>
      <c r="D32" s="98"/>
      <c r="E32" s="99"/>
      <c r="F32" s="98"/>
      <c r="G32" s="98"/>
      <c r="H32" s="98"/>
      <c r="I32" s="99"/>
      <c r="J32" s="98"/>
      <c r="K32" s="98"/>
      <c r="L32" s="98"/>
      <c r="M32" s="99"/>
      <c r="N32" s="98"/>
      <c r="O32" s="98"/>
      <c r="P32" s="98"/>
      <c r="Q32" s="99"/>
      <c r="R32" s="98"/>
      <c r="S32" s="98"/>
      <c r="T32" s="98"/>
      <c r="U32" s="99"/>
      <c r="V32" s="98"/>
      <c r="W32" s="98"/>
      <c r="X32" s="98"/>
      <c r="Y32" s="100"/>
      <c r="Z32" s="98"/>
      <c r="AA32" s="98"/>
      <c r="AB32" s="98"/>
      <c r="AC32" s="99"/>
      <c r="AD32" s="98"/>
      <c r="AE32" s="98"/>
      <c r="AF32" s="98"/>
      <c r="AG32" s="99"/>
      <c r="AH32" s="98"/>
      <c r="AI32" s="98"/>
      <c r="AJ32" s="98"/>
      <c r="AK32" s="99"/>
      <c r="AL32" s="98"/>
      <c r="AM32" s="98"/>
      <c r="AN32" s="98"/>
      <c r="AO32" s="98"/>
      <c r="AP32" s="84" t="str">
        <f t="shared" si="2"/>
        <v/>
      </c>
      <c r="AQ32" s="9"/>
      <c r="AR32" s="9"/>
      <c r="AS32" s="8"/>
      <c r="AT32" s="9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8"/>
      <c r="BX32" s="9"/>
      <c r="BY32" s="9"/>
      <c r="BZ32" s="9"/>
      <c r="CA32" s="33"/>
      <c r="CB32" s="85" t="str">
        <f t="shared" si="3"/>
        <v/>
      </c>
      <c r="CC32" s="86" t="str">
        <f t="shared" si="4"/>
        <v/>
      </c>
      <c r="CD32" s="86" t="str">
        <f t="shared" si="5"/>
        <v/>
      </c>
      <c r="CE32" s="86" t="str">
        <f t="shared" si="6"/>
        <v/>
      </c>
      <c r="CF32" s="86" t="str">
        <f t="shared" si="7"/>
        <v/>
      </c>
      <c r="CG32" s="86" t="str">
        <f t="shared" si="8"/>
        <v/>
      </c>
      <c r="CH32" s="86" t="str">
        <f t="shared" si="9"/>
        <v/>
      </c>
      <c r="CI32" s="86" t="str">
        <f t="shared" si="10"/>
        <v/>
      </c>
      <c r="CJ32" s="86" t="str">
        <f t="shared" si="11"/>
        <v/>
      </c>
      <c r="CK32" s="86" t="str">
        <f t="shared" si="12"/>
        <v/>
      </c>
      <c r="CL32" s="86" t="str">
        <f t="shared" si="13"/>
        <v/>
      </c>
      <c r="CM32" s="87" t="str">
        <f t="shared" si="14"/>
        <v/>
      </c>
      <c r="CN32" s="88" t="str">
        <f t="shared" si="26"/>
        <v/>
      </c>
      <c r="CO32" s="88" t="str">
        <f t="shared" si="15"/>
        <v/>
      </c>
      <c r="CP32" s="88" t="str">
        <f t="shared" si="16"/>
        <v/>
      </c>
      <c r="CQ32" s="88" t="str">
        <f t="shared" si="17"/>
        <v/>
      </c>
      <c r="CR32" s="88" t="str">
        <f t="shared" si="18"/>
        <v/>
      </c>
      <c r="CS32" s="88" t="str">
        <f t="shared" si="19"/>
        <v/>
      </c>
      <c r="CT32" s="88" t="str">
        <f t="shared" si="20"/>
        <v/>
      </c>
      <c r="CU32" s="88" t="str">
        <f t="shared" si="21"/>
        <v/>
      </c>
      <c r="CV32" s="88" t="str">
        <f t="shared" si="22"/>
        <v/>
      </c>
      <c r="CW32" s="88" t="str">
        <f t="shared" si="23"/>
        <v/>
      </c>
      <c r="CX32" s="7"/>
      <c r="CY32" s="7"/>
      <c r="CZ32" s="7"/>
      <c r="DA32" s="8"/>
      <c r="DB32" s="89" t="str">
        <f>IF(DD32&lt;&gt;"","Jun.","")</f>
        <v/>
      </c>
      <c r="DC32" s="90">
        <v>6.0</v>
      </c>
      <c r="DD32" s="101" t="str">
        <f>IFERROR(__xludf.DUMMYFUNCTION("IFERROR(AVERAGE(FILTER($AP$13:$AP$500,$A$13:$A$500&gt;=$DQ$25,$A$13:$A$500&lt;=$DQ$26,$DW$13:$DW$500=DC32)),"""")"),"")</f>
        <v/>
      </c>
      <c r="DU32" s="104" t="str">
        <f t="shared" si="24"/>
        <v/>
      </c>
      <c r="DV32" s="104" t="str">
        <f>ABA!$A32</f>
        <v/>
      </c>
      <c r="DW32" s="98" t="str">
        <f t="shared" si="25"/>
        <v/>
      </c>
    </row>
    <row r="33" ht="15.75" customHeight="1">
      <c r="A33" s="78"/>
      <c r="B33" s="105"/>
      <c r="C33" s="82"/>
      <c r="D33" s="82"/>
      <c r="E33" s="83"/>
      <c r="F33" s="82"/>
      <c r="G33" s="82"/>
      <c r="H33" s="82"/>
      <c r="I33" s="83"/>
      <c r="J33" s="82"/>
      <c r="K33" s="82"/>
      <c r="L33" s="82"/>
      <c r="M33" s="83"/>
      <c r="N33" s="82"/>
      <c r="O33" s="82"/>
      <c r="P33" s="82"/>
      <c r="Q33" s="83"/>
      <c r="R33" s="82"/>
      <c r="S33" s="82"/>
      <c r="T33" s="82"/>
      <c r="U33" s="83"/>
      <c r="V33" s="82"/>
      <c r="W33" s="82"/>
      <c r="X33" s="82"/>
      <c r="Y33" s="83"/>
      <c r="Z33" s="82"/>
      <c r="AA33" s="82"/>
      <c r="AB33" s="82"/>
      <c r="AC33" s="83"/>
      <c r="AD33" s="82"/>
      <c r="AE33" s="82"/>
      <c r="AF33" s="82"/>
      <c r="AG33" s="83"/>
      <c r="AH33" s="82"/>
      <c r="AI33" s="82"/>
      <c r="AJ33" s="82"/>
      <c r="AK33" s="83"/>
      <c r="AL33" s="82"/>
      <c r="AM33" s="82"/>
      <c r="AN33" s="82"/>
      <c r="AO33" s="82"/>
      <c r="AP33" s="84" t="str">
        <f t="shared" si="2"/>
        <v/>
      </c>
      <c r="AQ33" s="9"/>
      <c r="AR33" s="9"/>
      <c r="AS33" s="8"/>
      <c r="AT33" s="9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8"/>
      <c r="BX33" s="9"/>
      <c r="BY33" s="9"/>
      <c r="BZ33" s="9"/>
      <c r="CA33" s="33"/>
      <c r="CB33" s="85" t="str">
        <f t="shared" si="3"/>
        <v/>
      </c>
      <c r="CC33" s="86" t="str">
        <f t="shared" si="4"/>
        <v/>
      </c>
      <c r="CD33" s="86" t="str">
        <f t="shared" si="5"/>
        <v/>
      </c>
      <c r="CE33" s="86" t="str">
        <f t="shared" si="6"/>
        <v/>
      </c>
      <c r="CF33" s="86" t="str">
        <f t="shared" si="7"/>
        <v/>
      </c>
      <c r="CG33" s="86" t="str">
        <f t="shared" si="8"/>
        <v/>
      </c>
      <c r="CH33" s="86" t="str">
        <f t="shared" si="9"/>
        <v/>
      </c>
      <c r="CI33" s="86" t="str">
        <f t="shared" si="10"/>
        <v/>
      </c>
      <c r="CJ33" s="86" t="str">
        <f t="shared" si="11"/>
        <v/>
      </c>
      <c r="CK33" s="86" t="str">
        <f t="shared" si="12"/>
        <v/>
      </c>
      <c r="CL33" s="86" t="str">
        <f t="shared" si="13"/>
        <v/>
      </c>
      <c r="CM33" s="87" t="str">
        <f t="shared" si="14"/>
        <v/>
      </c>
      <c r="CN33" s="88" t="str">
        <f t="shared" si="26"/>
        <v/>
      </c>
      <c r="CO33" s="88" t="str">
        <f t="shared" si="15"/>
        <v/>
      </c>
      <c r="CP33" s="88" t="str">
        <f t="shared" si="16"/>
        <v/>
      </c>
      <c r="CQ33" s="88" t="str">
        <f t="shared" si="17"/>
        <v/>
      </c>
      <c r="CR33" s="88" t="str">
        <f t="shared" si="18"/>
        <v/>
      </c>
      <c r="CS33" s="88" t="str">
        <f t="shared" si="19"/>
        <v/>
      </c>
      <c r="CT33" s="88" t="str">
        <f t="shared" si="20"/>
        <v/>
      </c>
      <c r="CU33" s="88" t="str">
        <f t="shared" si="21"/>
        <v/>
      </c>
      <c r="CV33" s="88" t="str">
        <f t="shared" si="22"/>
        <v/>
      </c>
      <c r="CW33" s="88" t="str">
        <f t="shared" si="23"/>
        <v/>
      </c>
      <c r="CX33" s="7"/>
      <c r="CY33" s="7"/>
      <c r="CZ33" s="7"/>
      <c r="DA33" s="8"/>
      <c r="DB33" s="89" t="str">
        <f>IF(DD33&lt;&gt;"","Jul.","")</f>
        <v/>
      </c>
      <c r="DC33" s="90">
        <v>7.0</v>
      </c>
      <c r="DD33" s="101" t="str">
        <f>IFERROR(__xludf.DUMMYFUNCTION("IFERROR(AVERAGE(FILTER($AP$13:$AP$500,$A$13:$A$500&gt;=$DQ$25,$A$13:$A$500&lt;=$DQ$26,$DW$13:$DW$500=DC33)),"""")"),"")</f>
        <v/>
      </c>
      <c r="DU33" s="93" t="str">
        <f t="shared" si="24"/>
        <v/>
      </c>
      <c r="DV33" s="93" t="str">
        <f>ABA!$A33</f>
        <v/>
      </c>
      <c r="DW33" s="82" t="str">
        <f t="shared" si="25"/>
        <v/>
      </c>
    </row>
    <row r="34" ht="15.75" customHeight="1">
      <c r="A34" s="85"/>
      <c r="B34" s="107"/>
      <c r="C34" s="98"/>
      <c r="D34" s="98"/>
      <c r="E34" s="99"/>
      <c r="F34" s="98"/>
      <c r="G34" s="98"/>
      <c r="H34" s="98"/>
      <c r="I34" s="99"/>
      <c r="J34" s="98"/>
      <c r="K34" s="98"/>
      <c r="L34" s="98"/>
      <c r="M34" s="99"/>
      <c r="N34" s="98"/>
      <c r="O34" s="98"/>
      <c r="P34" s="98"/>
      <c r="Q34" s="99"/>
      <c r="R34" s="98"/>
      <c r="S34" s="98"/>
      <c r="T34" s="98"/>
      <c r="U34" s="99"/>
      <c r="V34" s="98"/>
      <c r="W34" s="98"/>
      <c r="X34" s="98"/>
      <c r="Y34" s="100"/>
      <c r="Z34" s="98"/>
      <c r="AA34" s="98"/>
      <c r="AB34" s="98"/>
      <c r="AC34" s="99"/>
      <c r="AD34" s="98"/>
      <c r="AE34" s="98"/>
      <c r="AF34" s="98"/>
      <c r="AG34" s="99"/>
      <c r="AH34" s="98"/>
      <c r="AI34" s="98"/>
      <c r="AJ34" s="98"/>
      <c r="AK34" s="99"/>
      <c r="AL34" s="98"/>
      <c r="AM34" s="98"/>
      <c r="AN34" s="98"/>
      <c r="AO34" s="98"/>
      <c r="AP34" s="84" t="str">
        <f t="shared" si="2"/>
        <v/>
      </c>
      <c r="AQ34" s="9"/>
      <c r="AR34" s="9"/>
      <c r="AS34" s="8"/>
      <c r="AT34" s="9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8"/>
      <c r="BX34" s="9"/>
      <c r="BY34" s="9"/>
      <c r="BZ34" s="9"/>
      <c r="CA34" s="33"/>
      <c r="CB34" s="85" t="str">
        <f t="shared" si="3"/>
        <v/>
      </c>
      <c r="CC34" s="86" t="str">
        <f t="shared" si="4"/>
        <v/>
      </c>
      <c r="CD34" s="86" t="str">
        <f t="shared" si="5"/>
        <v/>
      </c>
      <c r="CE34" s="86" t="str">
        <f t="shared" si="6"/>
        <v/>
      </c>
      <c r="CF34" s="86" t="str">
        <f t="shared" si="7"/>
        <v/>
      </c>
      <c r="CG34" s="86" t="str">
        <f t="shared" si="8"/>
        <v/>
      </c>
      <c r="CH34" s="86" t="str">
        <f t="shared" si="9"/>
        <v/>
      </c>
      <c r="CI34" s="86" t="str">
        <f t="shared" si="10"/>
        <v/>
      </c>
      <c r="CJ34" s="86" t="str">
        <f t="shared" si="11"/>
        <v/>
      </c>
      <c r="CK34" s="86" t="str">
        <f t="shared" si="12"/>
        <v/>
      </c>
      <c r="CL34" s="86" t="str">
        <f t="shared" si="13"/>
        <v/>
      </c>
      <c r="CM34" s="87" t="str">
        <f t="shared" si="14"/>
        <v/>
      </c>
      <c r="CN34" s="88" t="str">
        <f t="shared" si="26"/>
        <v/>
      </c>
      <c r="CO34" s="88" t="str">
        <f t="shared" si="15"/>
        <v/>
      </c>
      <c r="CP34" s="88" t="str">
        <f t="shared" si="16"/>
        <v/>
      </c>
      <c r="CQ34" s="88" t="str">
        <f t="shared" si="17"/>
        <v/>
      </c>
      <c r="CR34" s="88" t="str">
        <f t="shared" si="18"/>
        <v/>
      </c>
      <c r="CS34" s="88" t="str">
        <f t="shared" si="19"/>
        <v/>
      </c>
      <c r="CT34" s="88" t="str">
        <f t="shared" si="20"/>
        <v/>
      </c>
      <c r="CU34" s="88" t="str">
        <f t="shared" si="21"/>
        <v/>
      </c>
      <c r="CV34" s="88" t="str">
        <f t="shared" si="22"/>
        <v/>
      </c>
      <c r="CW34" s="88" t="str">
        <f t="shared" si="23"/>
        <v/>
      </c>
      <c r="CX34" s="7"/>
      <c r="CY34" s="7"/>
      <c r="CZ34" s="7"/>
      <c r="DA34" s="8"/>
      <c r="DB34" s="89" t="str">
        <f>IF(DD34&lt;&gt;"","Ago.","")</f>
        <v/>
      </c>
      <c r="DC34" s="90">
        <v>8.0</v>
      </c>
      <c r="DD34" s="101" t="str">
        <f>IFERROR(__xludf.DUMMYFUNCTION("IFERROR(AVERAGE(FILTER($AP$13:$AP$500,$A$13:$A$500&gt;=$DQ$25,$A$13:$A$500&lt;=$DQ$26,$DW$13:$DW$500=DC34)),"""")"),"")</f>
        <v/>
      </c>
      <c r="DU34" s="104" t="str">
        <f t="shared" si="24"/>
        <v/>
      </c>
      <c r="DV34" s="104" t="str">
        <f>ABA!$A34</f>
        <v/>
      </c>
      <c r="DW34" s="98" t="str">
        <f t="shared" si="25"/>
        <v/>
      </c>
    </row>
    <row r="35" ht="15.75" customHeight="1">
      <c r="A35" s="78"/>
      <c r="B35" s="105"/>
      <c r="C35" s="82"/>
      <c r="D35" s="82"/>
      <c r="E35" s="83"/>
      <c r="F35" s="82"/>
      <c r="G35" s="82"/>
      <c r="H35" s="82"/>
      <c r="I35" s="83"/>
      <c r="J35" s="82"/>
      <c r="K35" s="82"/>
      <c r="L35" s="82"/>
      <c r="M35" s="83"/>
      <c r="N35" s="82"/>
      <c r="O35" s="82"/>
      <c r="P35" s="82"/>
      <c r="Q35" s="83"/>
      <c r="R35" s="82"/>
      <c r="S35" s="82"/>
      <c r="T35" s="82"/>
      <c r="U35" s="83"/>
      <c r="V35" s="82"/>
      <c r="W35" s="82"/>
      <c r="X35" s="82"/>
      <c r="Y35" s="83"/>
      <c r="Z35" s="82"/>
      <c r="AA35" s="82"/>
      <c r="AB35" s="82"/>
      <c r="AC35" s="83"/>
      <c r="AD35" s="82"/>
      <c r="AE35" s="82"/>
      <c r="AF35" s="82"/>
      <c r="AG35" s="83"/>
      <c r="AH35" s="82"/>
      <c r="AI35" s="82"/>
      <c r="AJ35" s="82"/>
      <c r="AK35" s="83"/>
      <c r="AL35" s="82"/>
      <c r="AM35" s="82"/>
      <c r="AN35" s="82"/>
      <c r="AO35" s="82"/>
      <c r="AP35" s="84" t="str">
        <f t="shared" si="2"/>
        <v/>
      </c>
      <c r="AQ35" s="9"/>
      <c r="AR35" s="9"/>
      <c r="AS35" s="8"/>
      <c r="AT35" s="9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8"/>
      <c r="BX35" s="9"/>
      <c r="BY35" s="9"/>
      <c r="BZ35" s="9"/>
      <c r="CA35" s="33"/>
      <c r="CB35" s="85" t="str">
        <f t="shared" si="3"/>
        <v/>
      </c>
      <c r="CC35" s="86" t="str">
        <f t="shared" si="4"/>
        <v/>
      </c>
      <c r="CD35" s="86" t="str">
        <f t="shared" si="5"/>
        <v/>
      </c>
      <c r="CE35" s="86" t="str">
        <f t="shared" si="6"/>
        <v/>
      </c>
      <c r="CF35" s="86" t="str">
        <f t="shared" si="7"/>
        <v/>
      </c>
      <c r="CG35" s="86" t="str">
        <f t="shared" si="8"/>
        <v/>
      </c>
      <c r="CH35" s="86" t="str">
        <f t="shared" si="9"/>
        <v/>
      </c>
      <c r="CI35" s="86" t="str">
        <f t="shared" si="10"/>
        <v/>
      </c>
      <c r="CJ35" s="86" t="str">
        <f t="shared" si="11"/>
        <v/>
      </c>
      <c r="CK35" s="86" t="str">
        <f t="shared" si="12"/>
        <v/>
      </c>
      <c r="CL35" s="86" t="str">
        <f t="shared" si="13"/>
        <v/>
      </c>
      <c r="CM35" s="87" t="str">
        <f t="shared" si="14"/>
        <v/>
      </c>
      <c r="CN35" s="88" t="str">
        <f t="shared" si="26"/>
        <v/>
      </c>
      <c r="CO35" s="88" t="str">
        <f t="shared" si="15"/>
        <v/>
      </c>
      <c r="CP35" s="88" t="str">
        <f t="shared" si="16"/>
        <v/>
      </c>
      <c r="CQ35" s="88" t="str">
        <f t="shared" si="17"/>
        <v/>
      </c>
      <c r="CR35" s="88" t="str">
        <f t="shared" si="18"/>
        <v/>
      </c>
      <c r="CS35" s="88" t="str">
        <f t="shared" si="19"/>
        <v/>
      </c>
      <c r="CT35" s="88" t="str">
        <f t="shared" si="20"/>
        <v/>
      </c>
      <c r="CU35" s="88" t="str">
        <f t="shared" si="21"/>
        <v/>
      </c>
      <c r="CV35" s="88" t="str">
        <f t="shared" si="22"/>
        <v/>
      </c>
      <c r="CW35" s="88" t="str">
        <f t="shared" si="23"/>
        <v/>
      </c>
      <c r="CX35" s="7"/>
      <c r="CY35" s="7"/>
      <c r="CZ35" s="7"/>
      <c r="DA35" s="8"/>
      <c r="DB35" s="89" t="str">
        <f>IF(DD35&lt;&gt;"","Set.","")</f>
        <v/>
      </c>
      <c r="DC35" s="90">
        <v>9.0</v>
      </c>
      <c r="DD35" s="101" t="str">
        <f>IFERROR(__xludf.DUMMYFUNCTION("IFERROR(AVERAGE(FILTER($AP$13:$AP$500,$A$13:$A$500&gt;=$DQ$25,$A$13:$A$500&lt;=$DQ$26,$DW$13:$DW$500=DC35)),"""")"),"")</f>
        <v/>
      </c>
      <c r="DU35" s="93" t="str">
        <f t="shared" si="24"/>
        <v/>
      </c>
      <c r="DV35" s="93" t="str">
        <f>ABA!$A35</f>
        <v/>
      </c>
      <c r="DW35" s="82" t="str">
        <f t="shared" si="25"/>
        <v/>
      </c>
    </row>
    <row r="36" ht="15.75" customHeight="1">
      <c r="A36" s="85"/>
      <c r="B36" s="107"/>
      <c r="C36" s="98"/>
      <c r="D36" s="98"/>
      <c r="E36" s="99"/>
      <c r="F36" s="98"/>
      <c r="G36" s="98"/>
      <c r="H36" s="98"/>
      <c r="I36" s="99"/>
      <c r="J36" s="98"/>
      <c r="K36" s="98"/>
      <c r="L36" s="98"/>
      <c r="M36" s="99"/>
      <c r="N36" s="98"/>
      <c r="O36" s="98"/>
      <c r="P36" s="98"/>
      <c r="Q36" s="99"/>
      <c r="R36" s="98"/>
      <c r="S36" s="98"/>
      <c r="T36" s="98"/>
      <c r="U36" s="99"/>
      <c r="V36" s="98"/>
      <c r="W36" s="98"/>
      <c r="X36" s="98"/>
      <c r="Y36" s="100"/>
      <c r="Z36" s="98"/>
      <c r="AA36" s="98"/>
      <c r="AB36" s="98"/>
      <c r="AC36" s="99"/>
      <c r="AD36" s="98"/>
      <c r="AE36" s="98"/>
      <c r="AF36" s="98"/>
      <c r="AG36" s="99"/>
      <c r="AH36" s="98"/>
      <c r="AI36" s="98"/>
      <c r="AJ36" s="98"/>
      <c r="AK36" s="99"/>
      <c r="AL36" s="98"/>
      <c r="AM36" s="98"/>
      <c r="AN36" s="98"/>
      <c r="AO36" s="98"/>
      <c r="AP36" s="84" t="str">
        <f t="shared" si="2"/>
        <v/>
      </c>
      <c r="AQ36" s="9"/>
      <c r="AR36" s="9"/>
      <c r="AS36" s="8"/>
      <c r="AT36" s="9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8"/>
      <c r="BX36" s="9"/>
      <c r="BY36" s="9"/>
      <c r="BZ36" s="9"/>
      <c r="CA36" s="33"/>
      <c r="CB36" s="85" t="str">
        <f t="shared" si="3"/>
        <v/>
      </c>
      <c r="CC36" s="86" t="str">
        <f t="shared" si="4"/>
        <v/>
      </c>
      <c r="CD36" s="86" t="str">
        <f t="shared" si="5"/>
        <v/>
      </c>
      <c r="CE36" s="86" t="str">
        <f t="shared" si="6"/>
        <v/>
      </c>
      <c r="CF36" s="86" t="str">
        <f t="shared" si="7"/>
        <v/>
      </c>
      <c r="CG36" s="86" t="str">
        <f t="shared" si="8"/>
        <v/>
      </c>
      <c r="CH36" s="86" t="str">
        <f t="shared" si="9"/>
        <v/>
      </c>
      <c r="CI36" s="86" t="str">
        <f t="shared" si="10"/>
        <v/>
      </c>
      <c r="CJ36" s="86" t="str">
        <f t="shared" si="11"/>
        <v/>
      </c>
      <c r="CK36" s="86" t="str">
        <f t="shared" si="12"/>
        <v/>
      </c>
      <c r="CL36" s="86" t="str">
        <f t="shared" si="13"/>
        <v/>
      </c>
      <c r="CM36" s="87" t="str">
        <f t="shared" si="14"/>
        <v/>
      </c>
      <c r="CN36" s="88" t="str">
        <f t="shared" si="26"/>
        <v/>
      </c>
      <c r="CO36" s="88" t="str">
        <f t="shared" si="15"/>
        <v/>
      </c>
      <c r="CP36" s="88" t="str">
        <f t="shared" si="16"/>
        <v/>
      </c>
      <c r="CQ36" s="88" t="str">
        <f t="shared" si="17"/>
        <v/>
      </c>
      <c r="CR36" s="88" t="str">
        <f t="shared" si="18"/>
        <v/>
      </c>
      <c r="CS36" s="88" t="str">
        <f t="shared" si="19"/>
        <v/>
      </c>
      <c r="CT36" s="88" t="str">
        <f t="shared" si="20"/>
        <v/>
      </c>
      <c r="CU36" s="88" t="str">
        <f t="shared" si="21"/>
        <v/>
      </c>
      <c r="CV36" s="88" t="str">
        <f t="shared" si="22"/>
        <v/>
      </c>
      <c r="CW36" s="88" t="str">
        <f t="shared" si="23"/>
        <v/>
      </c>
      <c r="CX36" s="7"/>
      <c r="CY36" s="7"/>
      <c r="CZ36" s="7"/>
      <c r="DA36" s="8"/>
      <c r="DB36" s="89" t="str">
        <f>IF(DD36&lt;&gt;"","Out.","")</f>
        <v/>
      </c>
      <c r="DC36" s="90">
        <v>10.0</v>
      </c>
      <c r="DD36" s="101" t="str">
        <f>IFERROR(__xludf.DUMMYFUNCTION("IFERROR(AVERAGE(FILTER($AP$13:$AP$500,$A$13:$A$500&gt;=$DQ$25,$A$13:$A$500&lt;=$DQ$26,$DW$13:$DW$500=DC36)),"""")"),"")</f>
        <v/>
      </c>
      <c r="DU36" s="104" t="str">
        <f t="shared" si="24"/>
        <v/>
      </c>
      <c r="DV36" s="104" t="str">
        <f>ABA!$A36</f>
        <v/>
      </c>
      <c r="DW36" s="98" t="str">
        <f t="shared" si="25"/>
        <v/>
      </c>
    </row>
    <row r="37" ht="15.75" customHeight="1">
      <c r="A37" s="78"/>
      <c r="B37" s="105"/>
      <c r="C37" s="82"/>
      <c r="D37" s="82"/>
      <c r="E37" s="83"/>
      <c r="F37" s="82"/>
      <c r="G37" s="82"/>
      <c r="H37" s="82"/>
      <c r="I37" s="83"/>
      <c r="J37" s="82"/>
      <c r="K37" s="82"/>
      <c r="L37" s="82"/>
      <c r="M37" s="83"/>
      <c r="N37" s="82"/>
      <c r="O37" s="82"/>
      <c r="P37" s="82"/>
      <c r="Q37" s="83"/>
      <c r="R37" s="82"/>
      <c r="S37" s="82"/>
      <c r="T37" s="82"/>
      <c r="U37" s="83"/>
      <c r="V37" s="82"/>
      <c r="W37" s="82"/>
      <c r="X37" s="82"/>
      <c r="Y37" s="83"/>
      <c r="Z37" s="82"/>
      <c r="AA37" s="82"/>
      <c r="AB37" s="82"/>
      <c r="AC37" s="83"/>
      <c r="AD37" s="82"/>
      <c r="AE37" s="82"/>
      <c r="AF37" s="82"/>
      <c r="AG37" s="83"/>
      <c r="AH37" s="82"/>
      <c r="AI37" s="82"/>
      <c r="AJ37" s="82"/>
      <c r="AK37" s="83"/>
      <c r="AL37" s="82"/>
      <c r="AM37" s="82"/>
      <c r="AN37" s="82"/>
      <c r="AO37" s="82"/>
      <c r="AP37" s="84" t="str">
        <f t="shared" si="2"/>
        <v/>
      </c>
      <c r="AQ37" s="9"/>
      <c r="AR37" s="9"/>
      <c r="AS37" s="8"/>
      <c r="AT37" s="9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8"/>
      <c r="BX37" s="9"/>
      <c r="BY37" s="9"/>
      <c r="BZ37" s="9"/>
      <c r="CA37" s="33"/>
      <c r="CB37" s="85" t="str">
        <f t="shared" si="3"/>
        <v/>
      </c>
      <c r="CC37" s="86" t="str">
        <f t="shared" si="4"/>
        <v/>
      </c>
      <c r="CD37" s="86" t="str">
        <f t="shared" si="5"/>
        <v/>
      </c>
      <c r="CE37" s="86" t="str">
        <f t="shared" si="6"/>
        <v/>
      </c>
      <c r="CF37" s="86" t="str">
        <f t="shared" si="7"/>
        <v/>
      </c>
      <c r="CG37" s="86" t="str">
        <f t="shared" si="8"/>
        <v/>
      </c>
      <c r="CH37" s="86" t="str">
        <f t="shared" si="9"/>
        <v/>
      </c>
      <c r="CI37" s="86" t="str">
        <f t="shared" si="10"/>
        <v/>
      </c>
      <c r="CJ37" s="86" t="str">
        <f t="shared" si="11"/>
        <v/>
      </c>
      <c r="CK37" s="86" t="str">
        <f t="shared" si="12"/>
        <v/>
      </c>
      <c r="CL37" s="86" t="str">
        <f t="shared" si="13"/>
        <v/>
      </c>
      <c r="CM37" s="87" t="str">
        <f t="shared" si="14"/>
        <v/>
      </c>
      <c r="CN37" s="88" t="str">
        <f t="shared" si="26"/>
        <v/>
      </c>
      <c r="CO37" s="88" t="str">
        <f t="shared" si="15"/>
        <v/>
      </c>
      <c r="CP37" s="88" t="str">
        <f t="shared" si="16"/>
        <v/>
      </c>
      <c r="CQ37" s="88" t="str">
        <f t="shared" si="17"/>
        <v/>
      </c>
      <c r="CR37" s="88" t="str">
        <f t="shared" si="18"/>
        <v/>
      </c>
      <c r="CS37" s="88" t="str">
        <f t="shared" si="19"/>
        <v/>
      </c>
      <c r="CT37" s="88" t="str">
        <f t="shared" si="20"/>
        <v/>
      </c>
      <c r="CU37" s="88" t="str">
        <f t="shared" si="21"/>
        <v/>
      </c>
      <c r="CV37" s="88" t="str">
        <f t="shared" si="22"/>
        <v/>
      </c>
      <c r="CW37" s="88" t="str">
        <f t="shared" si="23"/>
        <v/>
      </c>
      <c r="CX37" s="7"/>
      <c r="CY37" s="7"/>
      <c r="CZ37" s="7"/>
      <c r="DA37" s="8"/>
      <c r="DB37" s="89" t="str">
        <f>IF(DD37&lt;&gt;"","Nov.","")</f>
        <v/>
      </c>
      <c r="DC37" s="90">
        <v>11.0</v>
      </c>
      <c r="DD37" s="101" t="str">
        <f>IFERROR(__xludf.DUMMYFUNCTION("IFERROR(AVERAGE(FILTER($AP$13:$AP$500,$A$13:$A$500&gt;=$DQ$25,$A$13:$A$500&lt;=$DQ$26,$DW$13:$DW$500=DC37)),"""")"),"")</f>
        <v/>
      </c>
      <c r="DU37" s="93" t="str">
        <f t="shared" si="24"/>
        <v/>
      </c>
      <c r="DV37" s="93" t="str">
        <f>ABA!$A37</f>
        <v/>
      </c>
      <c r="DW37" s="82" t="str">
        <f t="shared" si="25"/>
        <v/>
      </c>
    </row>
    <row r="38" ht="15.75" customHeight="1">
      <c r="A38" s="85"/>
      <c r="B38" s="107"/>
      <c r="C38" s="98"/>
      <c r="D38" s="98"/>
      <c r="E38" s="99"/>
      <c r="F38" s="98"/>
      <c r="G38" s="98"/>
      <c r="H38" s="98"/>
      <c r="I38" s="99"/>
      <c r="J38" s="98"/>
      <c r="K38" s="98"/>
      <c r="L38" s="98"/>
      <c r="M38" s="99"/>
      <c r="N38" s="98"/>
      <c r="O38" s="98"/>
      <c r="P38" s="98"/>
      <c r="Q38" s="99"/>
      <c r="R38" s="98"/>
      <c r="S38" s="98"/>
      <c r="T38" s="98"/>
      <c r="U38" s="99"/>
      <c r="V38" s="98"/>
      <c r="W38" s="98"/>
      <c r="X38" s="98"/>
      <c r="Y38" s="100"/>
      <c r="Z38" s="98"/>
      <c r="AA38" s="98"/>
      <c r="AB38" s="98"/>
      <c r="AC38" s="99"/>
      <c r="AD38" s="98"/>
      <c r="AE38" s="98"/>
      <c r="AF38" s="98"/>
      <c r="AG38" s="99"/>
      <c r="AH38" s="98"/>
      <c r="AI38" s="98"/>
      <c r="AJ38" s="98"/>
      <c r="AK38" s="99"/>
      <c r="AL38" s="98"/>
      <c r="AM38" s="98"/>
      <c r="AN38" s="98"/>
      <c r="AO38" s="98"/>
      <c r="AP38" s="84" t="str">
        <f t="shared" si="2"/>
        <v/>
      </c>
      <c r="AQ38" s="9"/>
      <c r="AR38" s="9"/>
      <c r="AS38" s="8"/>
      <c r="AT38" s="9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8"/>
      <c r="BX38" s="9"/>
      <c r="BY38" s="9"/>
      <c r="BZ38" s="9"/>
      <c r="CA38" s="33"/>
      <c r="CB38" s="85" t="str">
        <f t="shared" si="3"/>
        <v/>
      </c>
      <c r="CC38" s="86" t="str">
        <f t="shared" si="4"/>
        <v/>
      </c>
      <c r="CD38" s="86" t="str">
        <f t="shared" si="5"/>
        <v/>
      </c>
      <c r="CE38" s="86" t="str">
        <f t="shared" si="6"/>
        <v/>
      </c>
      <c r="CF38" s="86" t="str">
        <f t="shared" si="7"/>
        <v/>
      </c>
      <c r="CG38" s="86" t="str">
        <f t="shared" si="8"/>
        <v/>
      </c>
      <c r="CH38" s="86" t="str">
        <f t="shared" si="9"/>
        <v/>
      </c>
      <c r="CI38" s="86" t="str">
        <f t="shared" si="10"/>
        <v/>
      </c>
      <c r="CJ38" s="86" t="str">
        <f t="shared" si="11"/>
        <v/>
      </c>
      <c r="CK38" s="86" t="str">
        <f t="shared" si="12"/>
        <v/>
      </c>
      <c r="CL38" s="86" t="str">
        <f t="shared" si="13"/>
        <v/>
      </c>
      <c r="CM38" s="87" t="str">
        <f t="shared" si="14"/>
        <v/>
      </c>
      <c r="CN38" s="88" t="str">
        <f t="shared" si="26"/>
        <v/>
      </c>
      <c r="CO38" s="88" t="str">
        <f t="shared" si="15"/>
        <v/>
      </c>
      <c r="CP38" s="88" t="str">
        <f t="shared" si="16"/>
        <v/>
      </c>
      <c r="CQ38" s="88" t="str">
        <f t="shared" si="17"/>
        <v/>
      </c>
      <c r="CR38" s="88" t="str">
        <f t="shared" si="18"/>
        <v/>
      </c>
      <c r="CS38" s="88" t="str">
        <f t="shared" si="19"/>
        <v/>
      </c>
      <c r="CT38" s="88" t="str">
        <f t="shared" si="20"/>
        <v/>
      </c>
      <c r="CU38" s="88" t="str">
        <f t="shared" si="21"/>
        <v/>
      </c>
      <c r="CV38" s="88" t="str">
        <f t="shared" si="22"/>
        <v/>
      </c>
      <c r="CW38" s="88" t="str">
        <f t="shared" si="23"/>
        <v/>
      </c>
      <c r="CX38" s="7"/>
      <c r="CY38" s="7"/>
      <c r="CZ38" s="7"/>
      <c r="DA38" s="8"/>
      <c r="DB38" s="89" t="str">
        <f>IF(DD38&lt;&gt;"","Dez.","")</f>
        <v/>
      </c>
      <c r="DC38" s="90">
        <v>12.0</v>
      </c>
      <c r="DD38" s="101" t="str">
        <f>IFERROR(__xludf.DUMMYFUNCTION("IFERROR(AVERAGE(FILTER($AP$13:$AP$500,$A$13:$A$500&gt;=$DQ$25,$A$13:$A$500&lt;=$DQ$26,$DW$13:$DW$500=DC38)),"""")"),"")</f>
        <v/>
      </c>
      <c r="DU38" s="104" t="str">
        <f t="shared" si="24"/>
        <v/>
      </c>
      <c r="DV38" s="104" t="str">
        <f>ABA!$A38</f>
        <v/>
      </c>
      <c r="DW38" s="98" t="str">
        <f t="shared" si="25"/>
        <v/>
      </c>
    </row>
    <row r="39" ht="15.75" customHeight="1">
      <c r="A39" s="78"/>
      <c r="B39" s="105"/>
      <c r="C39" s="82"/>
      <c r="D39" s="82"/>
      <c r="E39" s="83"/>
      <c r="F39" s="82"/>
      <c r="G39" s="82"/>
      <c r="H39" s="82"/>
      <c r="I39" s="83"/>
      <c r="J39" s="82"/>
      <c r="K39" s="82"/>
      <c r="L39" s="82"/>
      <c r="M39" s="83"/>
      <c r="N39" s="82"/>
      <c r="O39" s="82"/>
      <c r="P39" s="82"/>
      <c r="Q39" s="83"/>
      <c r="R39" s="82"/>
      <c r="S39" s="82"/>
      <c r="T39" s="82"/>
      <c r="U39" s="83"/>
      <c r="V39" s="82"/>
      <c r="W39" s="82"/>
      <c r="X39" s="82"/>
      <c r="Y39" s="83"/>
      <c r="Z39" s="82"/>
      <c r="AA39" s="82"/>
      <c r="AB39" s="82"/>
      <c r="AC39" s="83"/>
      <c r="AD39" s="82"/>
      <c r="AE39" s="82"/>
      <c r="AF39" s="82"/>
      <c r="AG39" s="83"/>
      <c r="AH39" s="82"/>
      <c r="AI39" s="82"/>
      <c r="AJ39" s="82"/>
      <c r="AK39" s="83"/>
      <c r="AL39" s="82"/>
      <c r="AM39" s="82"/>
      <c r="AN39" s="82"/>
      <c r="AO39" s="82"/>
      <c r="AP39" s="84" t="str">
        <f t="shared" si="2"/>
        <v/>
      </c>
      <c r="AQ39" s="9"/>
      <c r="AR39" s="9"/>
      <c r="AS39" s="8"/>
      <c r="AT39" s="9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8"/>
      <c r="BX39" s="9"/>
      <c r="BY39" s="9"/>
      <c r="BZ39" s="9"/>
      <c r="CA39" s="33"/>
      <c r="CB39" s="85" t="str">
        <f t="shared" si="3"/>
        <v/>
      </c>
      <c r="CC39" s="86" t="str">
        <f t="shared" si="4"/>
        <v/>
      </c>
      <c r="CD39" s="86" t="str">
        <f t="shared" si="5"/>
        <v/>
      </c>
      <c r="CE39" s="86" t="str">
        <f t="shared" si="6"/>
        <v/>
      </c>
      <c r="CF39" s="86" t="str">
        <f t="shared" si="7"/>
        <v/>
      </c>
      <c r="CG39" s="86" t="str">
        <f t="shared" si="8"/>
        <v/>
      </c>
      <c r="CH39" s="86" t="str">
        <f t="shared" si="9"/>
        <v/>
      </c>
      <c r="CI39" s="86" t="str">
        <f t="shared" si="10"/>
        <v/>
      </c>
      <c r="CJ39" s="86" t="str">
        <f t="shared" si="11"/>
        <v/>
      </c>
      <c r="CK39" s="86" t="str">
        <f t="shared" si="12"/>
        <v/>
      </c>
      <c r="CL39" s="86" t="str">
        <f t="shared" si="13"/>
        <v/>
      </c>
      <c r="CM39" s="87" t="str">
        <f t="shared" si="14"/>
        <v/>
      </c>
      <c r="CN39" s="88" t="str">
        <f t="shared" si="26"/>
        <v/>
      </c>
      <c r="CO39" s="88" t="str">
        <f t="shared" si="15"/>
        <v/>
      </c>
      <c r="CP39" s="88" t="str">
        <f t="shared" si="16"/>
        <v/>
      </c>
      <c r="CQ39" s="88" t="str">
        <f t="shared" si="17"/>
        <v/>
      </c>
      <c r="CR39" s="88" t="str">
        <f t="shared" si="18"/>
        <v/>
      </c>
      <c r="CS39" s="88" t="str">
        <f t="shared" si="19"/>
        <v/>
      </c>
      <c r="CT39" s="88" t="str">
        <f t="shared" si="20"/>
        <v/>
      </c>
      <c r="CU39" s="88" t="str">
        <f t="shared" si="21"/>
        <v/>
      </c>
      <c r="CV39" s="88" t="str">
        <f t="shared" si="22"/>
        <v/>
      </c>
      <c r="CW39" s="88" t="str">
        <f t="shared" si="23"/>
        <v/>
      </c>
      <c r="CX39" s="7"/>
      <c r="CY39" s="7"/>
      <c r="CZ39" s="7"/>
      <c r="DA39" s="8"/>
      <c r="DU39" s="93" t="str">
        <f t="shared" si="24"/>
        <v/>
      </c>
      <c r="DV39" s="93" t="str">
        <f>ABA!$A39</f>
        <v/>
      </c>
      <c r="DW39" s="82" t="str">
        <f t="shared" si="25"/>
        <v/>
      </c>
    </row>
    <row r="40" ht="15.75" customHeight="1">
      <c r="A40" s="85"/>
      <c r="B40" s="107"/>
      <c r="C40" s="98"/>
      <c r="D40" s="98"/>
      <c r="E40" s="99"/>
      <c r="F40" s="98"/>
      <c r="G40" s="98"/>
      <c r="H40" s="98"/>
      <c r="I40" s="99"/>
      <c r="J40" s="98"/>
      <c r="K40" s="98"/>
      <c r="L40" s="98"/>
      <c r="M40" s="99"/>
      <c r="N40" s="98"/>
      <c r="O40" s="98"/>
      <c r="P40" s="98"/>
      <c r="Q40" s="99"/>
      <c r="R40" s="98"/>
      <c r="S40" s="98"/>
      <c r="T40" s="98"/>
      <c r="U40" s="99"/>
      <c r="V40" s="98"/>
      <c r="W40" s="98"/>
      <c r="X40" s="98"/>
      <c r="Y40" s="100"/>
      <c r="Z40" s="98"/>
      <c r="AA40" s="98"/>
      <c r="AB40" s="98"/>
      <c r="AC40" s="99"/>
      <c r="AD40" s="98"/>
      <c r="AE40" s="98"/>
      <c r="AF40" s="98"/>
      <c r="AG40" s="99"/>
      <c r="AH40" s="98"/>
      <c r="AI40" s="98"/>
      <c r="AJ40" s="98"/>
      <c r="AK40" s="99"/>
      <c r="AL40" s="98"/>
      <c r="AM40" s="98"/>
      <c r="AN40" s="98"/>
      <c r="AO40" s="98"/>
      <c r="AP40" s="84" t="str">
        <f t="shared" si="2"/>
        <v/>
      </c>
      <c r="AQ40" s="9"/>
      <c r="AR40" s="9"/>
      <c r="AS40" s="8"/>
      <c r="AT40" s="9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8"/>
      <c r="BX40" s="9"/>
      <c r="BY40" s="9"/>
      <c r="BZ40" s="9"/>
      <c r="CA40" s="33"/>
      <c r="CB40" s="85" t="str">
        <f t="shared" si="3"/>
        <v/>
      </c>
      <c r="CC40" s="86" t="str">
        <f t="shared" si="4"/>
        <v/>
      </c>
      <c r="CD40" s="86" t="str">
        <f t="shared" si="5"/>
        <v/>
      </c>
      <c r="CE40" s="86" t="str">
        <f t="shared" si="6"/>
        <v/>
      </c>
      <c r="CF40" s="86" t="str">
        <f t="shared" si="7"/>
        <v/>
      </c>
      <c r="CG40" s="86" t="str">
        <f t="shared" si="8"/>
        <v/>
      </c>
      <c r="CH40" s="86" t="str">
        <f t="shared" si="9"/>
        <v/>
      </c>
      <c r="CI40" s="86" t="str">
        <f t="shared" si="10"/>
        <v/>
      </c>
      <c r="CJ40" s="86" t="str">
        <f t="shared" si="11"/>
        <v/>
      </c>
      <c r="CK40" s="86" t="str">
        <f t="shared" si="12"/>
        <v/>
      </c>
      <c r="CL40" s="86" t="str">
        <f t="shared" si="13"/>
        <v/>
      </c>
      <c r="CM40" s="87" t="str">
        <f t="shared" si="14"/>
        <v/>
      </c>
      <c r="CN40" s="88" t="str">
        <f t="shared" si="26"/>
        <v/>
      </c>
      <c r="CO40" s="88" t="str">
        <f t="shared" si="15"/>
        <v/>
      </c>
      <c r="CP40" s="88" t="str">
        <f t="shared" si="16"/>
        <v/>
      </c>
      <c r="CQ40" s="88" t="str">
        <f t="shared" si="17"/>
        <v/>
      </c>
      <c r="CR40" s="88" t="str">
        <f t="shared" si="18"/>
        <v/>
      </c>
      <c r="CS40" s="88" t="str">
        <f t="shared" si="19"/>
        <v/>
      </c>
      <c r="CT40" s="88" t="str">
        <f t="shared" si="20"/>
        <v/>
      </c>
      <c r="CU40" s="88" t="str">
        <f t="shared" si="21"/>
        <v/>
      </c>
      <c r="CV40" s="88" t="str">
        <f t="shared" si="22"/>
        <v/>
      </c>
      <c r="CW40" s="88" t="str">
        <f t="shared" si="23"/>
        <v/>
      </c>
      <c r="CX40" s="7"/>
      <c r="CY40" s="7"/>
      <c r="CZ40" s="7"/>
      <c r="DA40" s="8"/>
      <c r="DU40" s="93" t="str">
        <f t="shared" si="24"/>
        <v/>
      </c>
      <c r="DV40" s="104" t="str">
        <f>ABA!$A40</f>
        <v/>
      </c>
      <c r="DW40" s="98" t="str">
        <f t="shared" si="25"/>
        <v/>
      </c>
    </row>
    <row r="41" ht="15.75" customHeight="1">
      <c r="A41" s="78"/>
      <c r="B41" s="105"/>
      <c r="C41" s="82"/>
      <c r="D41" s="82"/>
      <c r="E41" s="83"/>
      <c r="F41" s="82"/>
      <c r="G41" s="82"/>
      <c r="H41" s="82"/>
      <c r="I41" s="83"/>
      <c r="J41" s="82"/>
      <c r="K41" s="82"/>
      <c r="L41" s="82"/>
      <c r="M41" s="83"/>
      <c r="N41" s="82"/>
      <c r="O41" s="82"/>
      <c r="P41" s="82"/>
      <c r="Q41" s="83"/>
      <c r="R41" s="82"/>
      <c r="S41" s="82"/>
      <c r="T41" s="82"/>
      <c r="U41" s="83"/>
      <c r="V41" s="82"/>
      <c r="W41" s="82"/>
      <c r="X41" s="82"/>
      <c r="Y41" s="83"/>
      <c r="Z41" s="82"/>
      <c r="AA41" s="82"/>
      <c r="AB41" s="82"/>
      <c r="AC41" s="83"/>
      <c r="AD41" s="82"/>
      <c r="AE41" s="82"/>
      <c r="AF41" s="82"/>
      <c r="AG41" s="83"/>
      <c r="AH41" s="82"/>
      <c r="AI41" s="82"/>
      <c r="AJ41" s="82"/>
      <c r="AK41" s="83"/>
      <c r="AL41" s="82"/>
      <c r="AM41" s="82"/>
      <c r="AN41" s="82"/>
      <c r="AO41" s="82"/>
      <c r="AP41" s="84" t="str">
        <f t="shared" si="2"/>
        <v/>
      </c>
      <c r="AQ41" s="9"/>
      <c r="AR41" s="9"/>
      <c r="AS41" s="8"/>
      <c r="AT41" s="9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8"/>
      <c r="BX41" s="9"/>
      <c r="BY41" s="9"/>
      <c r="BZ41" s="9"/>
      <c r="CA41" s="33"/>
      <c r="CB41" s="85" t="str">
        <f t="shared" si="3"/>
        <v/>
      </c>
      <c r="CC41" s="86" t="str">
        <f t="shared" si="4"/>
        <v/>
      </c>
      <c r="CD41" s="86" t="str">
        <f t="shared" si="5"/>
        <v/>
      </c>
      <c r="CE41" s="86" t="str">
        <f t="shared" si="6"/>
        <v/>
      </c>
      <c r="CF41" s="86" t="str">
        <f t="shared" si="7"/>
        <v/>
      </c>
      <c r="CG41" s="86" t="str">
        <f t="shared" si="8"/>
        <v/>
      </c>
      <c r="CH41" s="86" t="str">
        <f t="shared" si="9"/>
        <v/>
      </c>
      <c r="CI41" s="86" t="str">
        <f t="shared" si="10"/>
        <v/>
      </c>
      <c r="CJ41" s="86" t="str">
        <f t="shared" si="11"/>
        <v/>
      </c>
      <c r="CK41" s="86" t="str">
        <f t="shared" si="12"/>
        <v/>
      </c>
      <c r="CL41" s="86" t="str">
        <f t="shared" si="13"/>
        <v/>
      </c>
      <c r="CM41" s="87" t="str">
        <f t="shared" si="14"/>
        <v/>
      </c>
      <c r="CN41" s="88" t="str">
        <f t="shared" si="26"/>
        <v/>
      </c>
      <c r="CO41" s="88" t="str">
        <f t="shared" si="15"/>
        <v/>
      </c>
      <c r="CP41" s="88" t="str">
        <f t="shared" si="16"/>
        <v/>
      </c>
      <c r="CQ41" s="88" t="str">
        <f t="shared" si="17"/>
        <v/>
      </c>
      <c r="CR41" s="88" t="str">
        <f t="shared" si="18"/>
        <v/>
      </c>
      <c r="CS41" s="88" t="str">
        <f t="shared" si="19"/>
        <v/>
      </c>
      <c r="CT41" s="88" t="str">
        <f t="shared" si="20"/>
        <v/>
      </c>
      <c r="CU41" s="88" t="str">
        <f t="shared" si="21"/>
        <v/>
      </c>
      <c r="CV41" s="88" t="str">
        <f t="shared" si="22"/>
        <v/>
      </c>
      <c r="CW41" s="88" t="str">
        <f t="shared" si="23"/>
        <v/>
      </c>
      <c r="CX41" s="7"/>
      <c r="CY41" s="7"/>
      <c r="CZ41" s="7"/>
      <c r="DA41" s="8"/>
      <c r="DU41" s="104" t="str">
        <f t="shared" si="24"/>
        <v/>
      </c>
      <c r="DV41" s="93" t="str">
        <f>ABA!$A41</f>
        <v/>
      </c>
      <c r="DW41" s="82" t="str">
        <f t="shared" si="25"/>
        <v/>
      </c>
    </row>
    <row r="42" ht="15.75" customHeight="1">
      <c r="A42" s="85"/>
      <c r="B42" s="107"/>
      <c r="C42" s="98"/>
      <c r="D42" s="98"/>
      <c r="E42" s="99"/>
      <c r="F42" s="98"/>
      <c r="G42" s="98"/>
      <c r="H42" s="98"/>
      <c r="I42" s="99"/>
      <c r="J42" s="98"/>
      <c r="K42" s="98"/>
      <c r="L42" s="98"/>
      <c r="M42" s="99"/>
      <c r="N42" s="98"/>
      <c r="O42" s="98"/>
      <c r="P42" s="98"/>
      <c r="Q42" s="99"/>
      <c r="R42" s="98"/>
      <c r="S42" s="98"/>
      <c r="T42" s="98"/>
      <c r="U42" s="99"/>
      <c r="V42" s="98"/>
      <c r="W42" s="98"/>
      <c r="X42" s="98"/>
      <c r="Y42" s="100"/>
      <c r="Z42" s="98"/>
      <c r="AA42" s="98"/>
      <c r="AB42" s="98"/>
      <c r="AC42" s="99"/>
      <c r="AD42" s="98"/>
      <c r="AE42" s="98"/>
      <c r="AF42" s="98"/>
      <c r="AG42" s="99"/>
      <c r="AH42" s="98"/>
      <c r="AI42" s="98"/>
      <c r="AJ42" s="98"/>
      <c r="AK42" s="99"/>
      <c r="AL42" s="98"/>
      <c r="AM42" s="98"/>
      <c r="AN42" s="98"/>
      <c r="AO42" s="98"/>
      <c r="AP42" s="84" t="str">
        <f t="shared" si="2"/>
        <v/>
      </c>
      <c r="AQ42" s="9"/>
      <c r="AR42" s="9"/>
      <c r="AS42" s="8"/>
      <c r="AT42" s="9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8"/>
      <c r="BX42" s="9"/>
      <c r="BY42" s="9"/>
      <c r="BZ42" s="9"/>
      <c r="CA42" s="33"/>
      <c r="CB42" s="85" t="str">
        <f t="shared" si="3"/>
        <v/>
      </c>
      <c r="CC42" s="86" t="str">
        <f t="shared" si="4"/>
        <v/>
      </c>
      <c r="CD42" s="86" t="str">
        <f t="shared" si="5"/>
        <v/>
      </c>
      <c r="CE42" s="86" t="str">
        <f t="shared" si="6"/>
        <v/>
      </c>
      <c r="CF42" s="86" t="str">
        <f t="shared" si="7"/>
        <v/>
      </c>
      <c r="CG42" s="86" t="str">
        <f t="shared" si="8"/>
        <v/>
      </c>
      <c r="CH42" s="86" t="str">
        <f t="shared" si="9"/>
        <v/>
      </c>
      <c r="CI42" s="86" t="str">
        <f t="shared" si="10"/>
        <v/>
      </c>
      <c r="CJ42" s="86" t="str">
        <f t="shared" si="11"/>
        <v/>
      </c>
      <c r="CK42" s="86" t="str">
        <f t="shared" si="12"/>
        <v/>
      </c>
      <c r="CL42" s="86" t="str">
        <f t="shared" si="13"/>
        <v/>
      </c>
      <c r="CM42" s="87" t="str">
        <f t="shared" si="14"/>
        <v/>
      </c>
      <c r="CN42" s="88" t="str">
        <f t="shared" si="26"/>
        <v/>
      </c>
      <c r="CO42" s="88" t="str">
        <f t="shared" si="15"/>
        <v/>
      </c>
      <c r="CP42" s="88" t="str">
        <f t="shared" si="16"/>
        <v/>
      </c>
      <c r="CQ42" s="88" t="str">
        <f t="shared" si="17"/>
        <v/>
      </c>
      <c r="CR42" s="88" t="str">
        <f t="shared" si="18"/>
        <v/>
      </c>
      <c r="CS42" s="88" t="str">
        <f t="shared" si="19"/>
        <v/>
      </c>
      <c r="CT42" s="88" t="str">
        <f t="shared" si="20"/>
        <v/>
      </c>
      <c r="CU42" s="88" t="str">
        <f t="shared" si="21"/>
        <v/>
      </c>
      <c r="CV42" s="88" t="str">
        <f t="shared" si="22"/>
        <v/>
      </c>
      <c r="CW42" s="88" t="str">
        <f t="shared" si="23"/>
        <v/>
      </c>
      <c r="CX42" s="7"/>
      <c r="CY42" s="7"/>
      <c r="CZ42" s="7"/>
      <c r="DA42" s="8"/>
      <c r="DU42" s="93" t="str">
        <f t="shared" si="24"/>
        <v/>
      </c>
      <c r="DV42" s="104" t="str">
        <f>ABA!$A42</f>
        <v/>
      </c>
      <c r="DW42" s="98" t="str">
        <f t="shared" si="25"/>
        <v/>
      </c>
    </row>
    <row r="43" ht="15.75" customHeight="1">
      <c r="A43" s="78"/>
      <c r="B43" s="105"/>
      <c r="C43" s="82"/>
      <c r="D43" s="82"/>
      <c r="E43" s="83"/>
      <c r="F43" s="82"/>
      <c r="G43" s="82"/>
      <c r="H43" s="82"/>
      <c r="I43" s="83"/>
      <c r="J43" s="82"/>
      <c r="K43" s="82"/>
      <c r="L43" s="82"/>
      <c r="M43" s="83"/>
      <c r="N43" s="82"/>
      <c r="O43" s="82"/>
      <c r="P43" s="82"/>
      <c r="Q43" s="83"/>
      <c r="R43" s="82"/>
      <c r="S43" s="82"/>
      <c r="T43" s="82"/>
      <c r="U43" s="83"/>
      <c r="V43" s="82"/>
      <c r="W43" s="82"/>
      <c r="X43" s="82"/>
      <c r="Y43" s="83"/>
      <c r="Z43" s="82"/>
      <c r="AA43" s="82"/>
      <c r="AB43" s="82"/>
      <c r="AC43" s="83"/>
      <c r="AD43" s="82"/>
      <c r="AE43" s="82"/>
      <c r="AF43" s="82"/>
      <c r="AG43" s="83"/>
      <c r="AH43" s="82"/>
      <c r="AI43" s="82"/>
      <c r="AJ43" s="82"/>
      <c r="AK43" s="83"/>
      <c r="AL43" s="82"/>
      <c r="AM43" s="82"/>
      <c r="AN43" s="82"/>
      <c r="AO43" s="82"/>
      <c r="AP43" s="84" t="str">
        <f t="shared" si="2"/>
        <v/>
      </c>
      <c r="AQ43" s="9"/>
      <c r="AR43" s="9"/>
      <c r="AS43" s="8"/>
      <c r="AT43" s="9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8"/>
      <c r="BX43" s="9"/>
      <c r="BY43" s="9"/>
      <c r="BZ43" s="9"/>
      <c r="CA43" s="33"/>
      <c r="CB43" s="85" t="str">
        <f t="shared" si="3"/>
        <v/>
      </c>
      <c r="CC43" s="86" t="str">
        <f t="shared" si="4"/>
        <v/>
      </c>
      <c r="CD43" s="86" t="str">
        <f t="shared" si="5"/>
        <v/>
      </c>
      <c r="CE43" s="86" t="str">
        <f t="shared" si="6"/>
        <v/>
      </c>
      <c r="CF43" s="86" t="str">
        <f t="shared" si="7"/>
        <v/>
      </c>
      <c r="CG43" s="86" t="str">
        <f t="shared" si="8"/>
        <v/>
      </c>
      <c r="CH43" s="86" t="str">
        <f t="shared" si="9"/>
        <v/>
      </c>
      <c r="CI43" s="86" t="str">
        <f t="shared" si="10"/>
        <v/>
      </c>
      <c r="CJ43" s="86" t="str">
        <f t="shared" si="11"/>
        <v/>
      </c>
      <c r="CK43" s="86" t="str">
        <f t="shared" si="12"/>
        <v/>
      </c>
      <c r="CL43" s="86" t="str">
        <f t="shared" si="13"/>
        <v/>
      </c>
      <c r="CM43" s="87" t="str">
        <f t="shared" si="14"/>
        <v/>
      </c>
      <c r="CN43" s="88" t="str">
        <f t="shared" si="26"/>
        <v/>
      </c>
      <c r="CO43" s="88" t="str">
        <f t="shared" si="15"/>
        <v/>
      </c>
      <c r="CP43" s="88" t="str">
        <f t="shared" si="16"/>
        <v/>
      </c>
      <c r="CQ43" s="88" t="str">
        <f t="shared" si="17"/>
        <v/>
      </c>
      <c r="CR43" s="88" t="str">
        <f t="shared" si="18"/>
        <v/>
      </c>
      <c r="CS43" s="88" t="str">
        <f t="shared" si="19"/>
        <v/>
      </c>
      <c r="CT43" s="88" t="str">
        <f t="shared" si="20"/>
        <v/>
      </c>
      <c r="CU43" s="88" t="str">
        <f t="shared" si="21"/>
        <v/>
      </c>
      <c r="CV43" s="88" t="str">
        <f t="shared" si="22"/>
        <v/>
      </c>
      <c r="CW43" s="88" t="str">
        <f t="shared" si="23"/>
        <v/>
      </c>
      <c r="CX43" s="7"/>
      <c r="CY43" s="7"/>
      <c r="CZ43" s="7"/>
      <c r="DA43" s="8"/>
      <c r="DU43" s="104" t="str">
        <f t="shared" si="24"/>
        <v/>
      </c>
      <c r="DV43" s="93" t="str">
        <f>ABA!$A43</f>
        <v/>
      </c>
      <c r="DW43" s="82" t="str">
        <f t="shared" si="25"/>
        <v/>
      </c>
    </row>
    <row r="44" ht="15.75" customHeight="1">
      <c r="A44" s="85"/>
      <c r="B44" s="107"/>
      <c r="C44" s="98"/>
      <c r="D44" s="98"/>
      <c r="E44" s="99"/>
      <c r="F44" s="98"/>
      <c r="G44" s="98"/>
      <c r="H44" s="98"/>
      <c r="I44" s="99"/>
      <c r="J44" s="98"/>
      <c r="K44" s="98"/>
      <c r="L44" s="98"/>
      <c r="M44" s="99"/>
      <c r="N44" s="98"/>
      <c r="O44" s="98"/>
      <c r="P44" s="98"/>
      <c r="Q44" s="99"/>
      <c r="R44" s="98"/>
      <c r="S44" s="98"/>
      <c r="T44" s="98"/>
      <c r="U44" s="99"/>
      <c r="V44" s="98"/>
      <c r="W44" s="98"/>
      <c r="X44" s="98"/>
      <c r="Y44" s="100"/>
      <c r="Z44" s="98"/>
      <c r="AA44" s="98"/>
      <c r="AB44" s="98"/>
      <c r="AC44" s="99"/>
      <c r="AD44" s="98"/>
      <c r="AE44" s="98"/>
      <c r="AF44" s="98"/>
      <c r="AG44" s="99"/>
      <c r="AH44" s="98"/>
      <c r="AI44" s="98"/>
      <c r="AJ44" s="98"/>
      <c r="AK44" s="99"/>
      <c r="AL44" s="98"/>
      <c r="AM44" s="98"/>
      <c r="AN44" s="98"/>
      <c r="AO44" s="98"/>
      <c r="AP44" s="84" t="str">
        <f t="shared" si="2"/>
        <v/>
      </c>
      <c r="AQ44" s="109"/>
      <c r="AR44" s="109"/>
      <c r="AS44" s="110"/>
      <c r="AT44" s="109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0"/>
      <c r="BX44" s="109"/>
      <c r="BY44" s="109"/>
      <c r="BZ44" s="109"/>
      <c r="CA44" s="112"/>
      <c r="CB44" s="85" t="str">
        <f t="shared" si="3"/>
        <v/>
      </c>
      <c r="CC44" s="86" t="str">
        <f t="shared" si="4"/>
        <v/>
      </c>
      <c r="CD44" s="86" t="str">
        <f t="shared" si="5"/>
        <v/>
      </c>
      <c r="CE44" s="86" t="str">
        <f t="shared" si="6"/>
        <v/>
      </c>
      <c r="CF44" s="86" t="str">
        <f t="shared" si="7"/>
        <v/>
      </c>
      <c r="CG44" s="86" t="str">
        <f t="shared" si="8"/>
        <v/>
      </c>
      <c r="CH44" s="86" t="str">
        <f t="shared" si="9"/>
        <v/>
      </c>
      <c r="CI44" s="86" t="str">
        <f t="shared" si="10"/>
        <v/>
      </c>
      <c r="CJ44" s="86" t="str">
        <f t="shared" si="11"/>
        <v/>
      </c>
      <c r="CK44" s="86" t="str">
        <f t="shared" si="12"/>
        <v/>
      </c>
      <c r="CL44" s="86" t="str">
        <f t="shared" si="13"/>
        <v/>
      </c>
      <c r="CM44" s="87" t="str">
        <f t="shared" si="14"/>
        <v/>
      </c>
      <c r="CN44" s="88" t="str">
        <f t="shared" si="26"/>
        <v/>
      </c>
      <c r="CO44" s="88" t="str">
        <f t="shared" si="15"/>
        <v/>
      </c>
      <c r="CP44" s="88" t="str">
        <f t="shared" si="16"/>
        <v/>
      </c>
      <c r="CQ44" s="88" t="str">
        <f t="shared" si="17"/>
        <v/>
      </c>
      <c r="CR44" s="88" t="str">
        <f t="shared" si="18"/>
        <v/>
      </c>
      <c r="CS44" s="88" t="str">
        <f t="shared" si="19"/>
        <v/>
      </c>
      <c r="CT44" s="88" t="str">
        <f t="shared" si="20"/>
        <v/>
      </c>
      <c r="CU44" s="88" t="str">
        <f t="shared" si="21"/>
        <v/>
      </c>
      <c r="CV44" s="88" t="str">
        <f t="shared" si="22"/>
        <v/>
      </c>
      <c r="CW44" s="88" t="str">
        <f t="shared" si="23"/>
        <v/>
      </c>
      <c r="CX44" s="111"/>
      <c r="CY44" s="111"/>
      <c r="CZ44" s="111"/>
      <c r="DA44" s="110"/>
      <c r="DU44" s="93" t="str">
        <f t="shared" si="24"/>
        <v/>
      </c>
      <c r="DV44" s="104" t="str">
        <f>ABA!$A44</f>
        <v/>
      </c>
      <c r="DW44" s="98" t="str">
        <f t="shared" si="25"/>
        <v/>
      </c>
    </row>
    <row r="45" ht="15.75" customHeight="1">
      <c r="A45" s="78"/>
      <c r="B45" s="105"/>
      <c r="C45" s="82"/>
      <c r="D45" s="82"/>
      <c r="E45" s="83"/>
      <c r="F45" s="82"/>
      <c r="G45" s="82"/>
      <c r="H45" s="82"/>
      <c r="I45" s="83"/>
      <c r="J45" s="82"/>
      <c r="K45" s="82"/>
      <c r="L45" s="82"/>
      <c r="M45" s="83"/>
      <c r="N45" s="82"/>
      <c r="O45" s="82"/>
      <c r="P45" s="82"/>
      <c r="Q45" s="83"/>
      <c r="R45" s="82"/>
      <c r="S45" s="82"/>
      <c r="T45" s="82"/>
      <c r="U45" s="83"/>
      <c r="V45" s="82"/>
      <c r="W45" s="82"/>
      <c r="X45" s="82"/>
      <c r="Y45" s="83"/>
      <c r="Z45" s="82"/>
      <c r="AA45" s="82"/>
      <c r="AB45" s="82"/>
      <c r="AC45" s="83"/>
      <c r="AD45" s="82"/>
      <c r="AE45" s="82"/>
      <c r="AF45" s="82"/>
      <c r="AG45" s="83"/>
      <c r="AH45" s="82"/>
      <c r="AI45" s="82"/>
      <c r="AJ45" s="82"/>
      <c r="AK45" s="83"/>
      <c r="AL45" s="82"/>
      <c r="AM45" s="82"/>
      <c r="AN45" s="82"/>
      <c r="AO45" s="82"/>
      <c r="AP45" s="84" t="str">
        <f t="shared" si="2"/>
        <v/>
      </c>
      <c r="AQ45" s="9"/>
      <c r="AR45" s="9"/>
      <c r="AS45" s="8"/>
      <c r="AT45" s="9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8"/>
      <c r="BX45" s="9"/>
      <c r="BY45" s="9"/>
      <c r="BZ45" s="9"/>
      <c r="CA45" s="33"/>
      <c r="CB45" s="85" t="str">
        <f t="shared" si="3"/>
        <v/>
      </c>
      <c r="CC45" s="86" t="str">
        <f t="shared" si="4"/>
        <v/>
      </c>
      <c r="CD45" s="86" t="str">
        <f t="shared" si="5"/>
        <v/>
      </c>
      <c r="CE45" s="86" t="str">
        <f t="shared" si="6"/>
        <v/>
      </c>
      <c r="CF45" s="86" t="str">
        <f t="shared" si="7"/>
        <v/>
      </c>
      <c r="CG45" s="86" t="str">
        <f t="shared" si="8"/>
        <v/>
      </c>
      <c r="CH45" s="86" t="str">
        <f t="shared" si="9"/>
        <v/>
      </c>
      <c r="CI45" s="86" t="str">
        <f t="shared" si="10"/>
        <v/>
      </c>
      <c r="CJ45" s="86" t="str">
        <f t="shared" si="11"/>
        <v/>
      </c>
      <c r="CK45" s="86" t="str">
        <f t="shared" si="12"/>
        <v/>
      </c>
      <c r="CL45" s="86" t="str">
        <f t="shared" si="13"/>
        <v/>
      </c>
      <c r="CM45" s="87" t="str">
        <f t="shared" si="14"/>
        <v/>
      </c>
      <c r="CN45" s="88" t="str">
        <f t="shared" si="26"/>
        <v/>
      </c>
      <c r="CO45" s="88" t="str">
        <f t="shared" si="15"/>
        <v/>
      </c>
      <c r="CP45" s="88" t="str">
        <f t="shared" si="16"/>
        <v/>
      </c>
      <c r="CQ45" s="88" t="str">
        <f t="shared" si="17"/>
        <v/>
      </c>
      <c r="CR45" s="88" t="str">
        <f t="shared" si="18"/>
        <v/>
      </c>
      <c r="CS45" s="88" t="str">
        <f t="shared" si="19"/>
        <v/>
      </c>
      <c r="CT45" s="88" t="str">
        <f t="shared" si="20"/>
        <v/>
      </c>
      <c r="CU45" s="88" t="str">
        <f t="shared" si="21"/>
        <v/>
      </c>
      <c r="CV45" s="88" t="str">
        <f t="shared" si="22"/>
        <v/>
      </c>
      <c r="CW45" s="88" t="str">
        <f t="shared" si="23"/>
        <v/>
      </c>
      <c r="CX45" s="7"/>
      <c r="CY45" s="7"/>
      <c r="CZ45" s="7"/>
      <c r="DA45" s="8"/>
      <c r="DU45" s="104" t="str">
        <f t="shared" si="24"/>
        <v/>
      </c>
      <c r="DV45" s="93" t="str">
        <f>ABA!$A45</f>
        <v/>
      </c>
      <c r="DW45" s="82" t="str">
        <f t="shared" si="25"/>
        <v/>
      </c>
    </row>
    <row r="46" ht="15.75" customHeight="1">
      <c r="A46" s="85"/>
      <c r="B46" s="107"/>
      <c r="C46" s="98"/>
      <c r="D46" s="98"/>
      <c r="E46" s="99"/>
      <c r="F46" s="98"/>
      <c r="G46" s="98"/>
      <c r="H46" s="98"/>
      <c r="I46" s="99"/>
      <c r="J46" s="98"/>
      <c r="K46" s="98"/>
      <c r="L46" s="98"/>
      <c r="M46" s="99"/>
      <c r="N46" s="98"/>
      <c r="O46" s="98"/>
      <c r="P46" s="98"/>
      <c r="Q46" s="99"/>
      <c r="R46" s="98"/>
      <c r="S46" s="98"/>
      <c r="T46" s="98"/>
      <c r="U46" s="99"/>
      <c r="V46" s="98"/>
      <c r="W46" s="98"/>
      <c r="X46" s="98"/>
      <c r="Y46" s="100"/>
      <c r="Z46" s="98"/>
      <c r="AA46" s="98"/>
      <c r="AB46" s="98"/>
      <c r="AC46" s="99"/>
      <c r="AD46" s="98"/>
      <c r="AE46" s="98"/>
      <c r="AF46" s="98"/>
      <c r="AG46" s="99"/>
      <c r="AH46" s="98"/>
      <c r="AI46" s="98"/>
      <c r="AJ46" s="98"/>
      <c r="AK46" s="99"/>
      <c r="AL46" s="98"/>
      <c r="AM46" s="98"/>
      <c r="AN46" s="98"/>
      <c r="AO46" s="98"/>
      <c r="AP46" s="84" t="str">
        <f t="shared" si="2"/>
        <v/>
      </c>
      <c r="AQ46" s="9"/>
      <c r="AR46" s="9"/>
      <c r="AS46" s="8"/>
      <c r="AT46" s="9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8"/>
      <c r="BX46" s="9"/>
      <c r="BY46" s="9"/>
      <c r="BZ46" s="9"/>
      <c r="CA46" s="33"/>
      <c r="CB46" s="85" t="str">
        <f t="shared" si="3"/>
        <v/>
      </c>
      <c r="CC46" s="86" t="str">
        <f t="shared" si="4"/>
        <v/>
      </c>
      <c r="CD46" s="86" t="str">
        <f t="shared" si="5"/>
        <v/>
      </c>
      <c r="CE46" s="86" t="str">
        <f t="shared" si="6"/>
        <v/>
      </c>
      <c r="CF46" s="86" t="str">
        <f t="shared" si="7"/>
        <v/>
      </c>
      <c r="CG46" s="86" t="str">
        <f t="shared" si="8"/>
        <v/>
      </c>
      <c r="CH46" s="86" t="str">
        <f t="shared" si="9"/>
        <v/>
      </c>
      <c r="CI46" s="86" t="str">
        <f t="shared" si="10"/>
        <v/>
      </c>
      <c r="CJ46" s="86" t="str">
        <f t="shared" si="11"/>
        <v/>
      </c>
      <c r="CK46" s="86" t="str">
        <f t="shared" si="12"/>
        <v/>
      </c>
      <c r="CL46" s="86" t="str">
        <f t="shared" si="13"/>
        <v/>
      </c>
      <c r="CM46" s="87" t="str">
        <f t="shared" si="14"/>
        <v/>
      </c>
      <c r="CN46" s="88" t="str">
        <f t="shared" si="26"/>
        <v/>
      </c>
      <c r="CO46" s="88" t="str">
        <f t="shared" si="15"/>
        <v/>
      </c>
      <c r="CP46" s="88" t="str">
        <f t="shared" si="16"/>
        <v/>
      </c>
      <c r="CQ46" s="88" t="str">
        <f t="shared" si="17"/>
        <v/>
      </c>
      <c r="CR46" s="88" t="str">
        <f t="shared" si="18"/>
        <v/>
      </c>
      <c r="CS46" s="88" t="str">
        <f t="shared" si="19"/>
        <v/>
      </c>
      <c r="CT46" s="88" t="str">
        <f t="shared" si="20"/>
        <v/>
      </c>
      <c r="CU46" s="88" t="str">
        <f t="shared" si="21"/>
        <v/>
      </c>
      <c r="CV46" s="88" t="str">
        <f t="shared" si="22"/>
        <v/>
      </c>
      <c r="CW46" s="88" t="str">
        <f t="shared" si="23"/>
        <v/>
      </c>
      <c r="CX46" s="7"/>
      <c r="CY46" s="7"/>
      <c r="CZ46" s="7"/>
      <c r="DA46" s="8"/>
      <c r="DU46" s="93" t="str">
        <f t="shared" si="24"/>
        <v/>
      </c>
      <c r="DV46" s="104" t="str">
        <f>ABA!$A46</f>
        <v/>
      </c>
      <c r="DW46" s="98" t="str">
        <f t="shared" si="25"/>
        <v/>
      </c>
    </row>
    <row r="47" ht="15.75" customHeight="1">
      <c r="A47" s="78"/>
      <c r="B47" s="105"/>
      <c r="C47" s="82"/>
      <c r="D47" s="82"/>
      <c r="E47" s="83"/>
      <c r="F47" s="82"/>
      <c r="G47" s="82"/>
      <c r="H47" s="82"/>
      <c r="I47" s="83"/>
      <c r="J47" s="82"/>
      <c r="K47" s="82"/>
      <c r="L47" s="82"/>
      <c r="M47" s="83"/>
      <c r="N47" s="82"/>
      <c r="O47" s="82"/>
      <c r="P47" s="82"/>
      <c r="Q47" s="83"/>
      <c r="R47" s="82"/>
      <c r="S47" s="82"/>
      <c r="T47" s="82"/>
      <c r="U47" s="83"/>
      <c r="V47" s="82"/>
      <c r="W47" s="82"/>
      <c r="X47" s="82"/>
      <c r="Y47" s="83"/>
      <c r="Z47" s="82"/>
      <c r="AA47" s="82"/>
      <c r="AB47" s="82"/>
      <c r="AC47" s="83"/>
      <c r="AD47" s="82"/>
      <c r="AE47" s="82"/>
      <c r="AF47" s="82"/>
      <c r="AG47" s="83"/>
      <c r="AH47" s="82"/>
      <c r="AI47" s="82"/>
      <c r="AJ47" s="82"/>
      <c r="AK47" s="83"/>
      <c r="AL47" s="82"/>
      <c r="AM47" s="82"/>
      <c r="AN47" s="82"/>
      <c r="AO47" s="82"/>
      <c r="AP47" s="84" t="str">
        <f t="shared" si="2"/>
        <v/>
      </c>
      <c r="AQ47" s="9"/>
      <c r="AR47" s="9"/>
      <c r="AS47" s="8"/>
      <c r="AT47" s="9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8"/>
      <c r="BX47" s="9"/>
      <c r="BY47" s="9"/>
      <c r="BZ47" s="9"/>
      <c r="CA47" s="33"/>
      <c r="CB47" s="85" t="str">
        <f t="shared" si="3"/>
        <v/>
      </c>
      <c r="CC47" s="86" t="str">
        <f t="shared" si="4"/>
        <v/>
      </c>
      <c r="CD47" s="86" t="str">
        <f t="shared" si="5"/>
        <v/>
      </c>
      <c r="CE47" s="86" t="str">
        <f t="shared" si="6"/>
        <v/>
      </c>
      <c r="CF47" s="86" t="str">
        <f t="shared" si="7"/>
        <v/>
      </c>
      <c r="CG47" s="86" t="str">
        <f t="shared" si="8"/>
        <v/>
      </c>
      <c r="CH47" s="86" t="str">
        <f t="shared" si="9"/>
        <v/>
      </c>
      <c r="CI47" s="86" t="str">
        <f t="shared" si="10"/>
        <v/>
      </c>
      <c r="CJ47" s="86" t="str">
        <f t="shared" si="11"/>
        <v/>
      </c>
      <c r="CK47" s="86" t="str">
        <f t="shared" si="12"/>
        <v/>
      </c>
      <c r="CL47" s="86" t="str">
        <f t="shared" si="13"/>
        <v/>
      </c>
      <c r="CM47" s="87" t="str">
        <f t="shared" si="14"/>
        <v/>
      </c>
      <c r="CN47" s="88" t="str">
        <f t="shared" si="26"/>
        <v/>
      </c>
      <c r="CO47" s="88" t="str">
        <f t="shared" si="15"/>
        <v/>
      </c>
      <c r="CP47" s="88" t="str">
        <f t="shared" si="16"/>
        <v/>
      </c>
      <c r="CQ47" s="88" t="str">
        <f t="shared" si="17"/>
        <v/>
      </c>
      <c r="CR47" s="88" t="str">
        <f t="shared" si="18"/>
        <v/>
      </c>
      <c r="CS47" s="88" t="str">
        <f t="shared" si="19"/>
        <v/>
      </c>
      <c r="CT47" s="88" t="str">
        <f t="shared" si="20"/>
        <v/>
      </c>
      <c r="CU47" s="88" t="str">
        <f t="shared" si="21"/>
        <v/>
      </c>
      <c r="CV47" s="88" t="str">
        <f t="shared" si="22"/>
        <v/>
      </c>
      <c r="CW47" s="88" t="str">
        <f t="shared" si="23"/>
        <v/>
      </c>
      <c r="CX47" s="7"/>
      <c r="CY47" s="7"/>
      <c r="CZ47" s="7"/>
      <c r="DA47" s="8"/>
      <c r="DU47" s="104" t="str">
        <f t="shared" si="24"/>
        <v/>
      </c>
      <c r="DV47" s="93" t="str">
        <f>ABA!$A47</f>
        <v/>
      </c>
      <c r="DW47" s="82" t="str">
        <f t="shared" si="25"/>
        <v/>
      </c>
    </row>
    <row r="48" ht="15.75" customHeight="1">
      <c r="A48" s="85"/>
      <c r="B48" s="107"/>
      <c r="C48" s="98"/>
      <c r="D48" s="98"/>
      <c r="E48" s="99"/>
      <c r="F48" s="98"/>
      <c r="G48" s="98"/>
      <c r="H48" s="98"/>
      <c r="I48" s="99"/>
      <c r="J48" s="98"/>
      <c r="K48" s="98"/>
      <c r="L48" s="98"/>
      <c r="M48" s="99"/>
      <c r="N48" s="98"/>
      <c r="O48" s="98"/>
      <c r="P48" s="98"/>
      <c r="Q48" s="99"/>
      <c r="R48" s="98"/>
      <c r="S48" s="98"/>
      <c r="T48" s="98"/>
      <c r="U48" s="99"/>
      <c r="V48" s="98"/>
      <c r="W48" s="98"/>
      <c r="X48" s="98"/>
      <c r="Y48" s="100"/>
      <c r="Z48" s="98"/>
      <c r="AA48" s="98"/>
      <c r="AB48" s="98"/>
      <c r="AC48" s="99"/>
      <c r="AD48" s="98"/>
      <c r="AE48" s="98"/>
      <c r="AF48" s="98"/>
      <c r="AG48" s="99"/>
      <c r="AH48" s="98"/>
      <c r="AI48" s="98"/>
      <c r="AJ48" s="98"/>
      <c r="AK48" s="99"/>
      <c r="AL48" s="98"/>
      <c r="AM48" s="98"/>
      <c r="AN48" s="98"/>
      <c r="AO48" s="98"/>
      <c r="AP48" s="84" t="str">
        <f t="shared" si="2"/>
        <v/>
      </c>
      <c r="AQ48" s="9"/>
      <c r="AR48" s="9"/>
      <c r="AS48" s="8"/>
      <c r="AT48" s="9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8"/>
      <c r="BX48" s="9"/>
      <c r="BY48" s="9"/>
      <c r="BZ48" s="9"/>
      <c r="CA48" s="33"/>
      <c r="CB48" s="85" t="str">
        <f t="shared" si="3"/>
        <v/>
      </c>
      <c r="CC48" s="86" t="str">
        <f t="shared" si="4"/>
        <v/>
      </c>
      <c r="CD48" s="86" t="str">
        <f t="shared" si="5"/>
        <v/>
      </c>
      <c r="CE48" s="86" t="str">
        <f t="shared" si="6"/>
        <v/>
      </c>
      <c r="CF48" s="86" t="str">
        <f t="shared" si="7"/>
        <v/>
      </c>
      <c r="CG48" s="86" t="str">
        <f t="shared" si="8"/>
        <v/>
      </c>
      <c r="CH48" s="86" t="str">
        <f t="shared" si="9"/>
        <v/>
      </c>
      <c r="CI48" s="86" t="str">
        <f t="shared" si="10"/>
        <v/>
      </c>
      <c r="CJ48" s="86" t="str">
        <f t="shared" si="11"/>
        <v/>
      </c>
      <c r="CK48" s="86" t="str">
        <f t="shared" si="12"/>
        <v/>
      </c>
      <c r="CL48" s="86" t="str">
        <f t="shared" si="13"/>
        <v/>
      </c>
      <c r="CM48" s="87" t="str">
        <f t="shared" si="14"/>
        <v/>
      </c>
      <c r="CN48" s="88" t="str">
        <f t="shared" si="26"/>
        <v/>
      </c>
      <c r="CO48" s="88" t="str">
        <f t="shared" si="15"/>
        <v/>
      </c>
      <c r="CP48" s="88" t="str">
        <f t="shared" si="16"/>
        <v/>
      </c>
      <c r="CQ48" s="88" t="str">
        <f t="shared" si="17"/>
        <v/>
      </c>
      <c r="CR48" s="88" t="str">
        <f t="shared" si="18"/>
        <v/>
      </c>
      <c r="CS48" s="88" t="str">
        <f t="shared" si="19"/>
        <v/>
      </c>
      <c r="CT48" s="88" t="str">
        <f t="shared" si="20"/>
        <v/>
      </c>
      <c r="CU48" s="88" t="str">
        <f t="shared" si="21"/>
        <v/>
      </c>
      <c r="CV48" s="88" t="str">
        <f t="shared" si="22"/>
        <v/>
      </c>
      <c r="CW48" s="88" t="str">
        <f t="shared" si="23"/>
        <v/>
      </c>
      <c r="CX48" s="7"/>
      <c r="CY48" s="7"/>
      <c r="CZ48" s="7"/>
      <c r="DA48" s="8"/>
      <c r="DU48" s="93" t="str">
        <f t="shared" si="24"/>
        <v/>
      </c>
      <c r="DV48" s="104" t="str">
        <f>ABA!$A48</f>
        <v/>
      </c>
      <c r="DW48" s="98" t="str">
        <f t="shared" si="25"/>
        <v/>
      </c>
    </row>
    <row r="49" ht="15.75" customHeight="1">
      <c r="A49" s="78"/>
      <c r="B49" s="105"/>
      <c r="C49" s="82"/>
      <c r="D49" s="82"/>
      <c r="E49" s="83"/>
      <c r="F49" s="82"/>
      <c r="G49" s="82"/>
      <c r="H49" s="82"/>
      <c r="I49" s="83"/>
      <c r="J49" s="82"/>
      <c r="K49" s="82"/>
      <c r="L49" s="82"/>
      <c r="M49" s="83"/>
      <c r="N49" s="82"/>
      <c r="O49" s="82"/>
      <c r="P49" s="82"/>
      <c r="Q49" s="83"/>
      <c r="R49" s="82"/>
      <c r="S49" s="82"/>
      <c r="T49" s="82"/>
      <c r="U49" s="83"/>
      <c r="V49" s="82"/>
      <c r="W49" s="82"/>
      <c r="X49" s="82"/>
      <c r="Y49" s="83"/>
      <c r="Z49" s="82"/>
      <c r="AA49" s="82"/>
      <c r="AB49" s="82"/>
      <c r="AC49" s="83"/>
      <c r="AD49" s="82"/>
      <c r="AE49" s="82"/>
      <c r="AF49" s="82"/>
      <c r="AG49" s="83"/>
      <c r="AH49" s="82"/>
      <c r="AI49" s="82"/>
      <c r="AJ49" s="82"/>
      <c r="AK49" s="83"/>
      <c r="AL49" s="82"/>
      <c r="AM49" s="82"/>
      <c r="AN49" s="82"/>
      <c r="AO49" s="82"/>
      <c r="AP49" s="84" t="str">
        <f t="shared" si="2"/>
        <v/>
      </c>
      <c r="AQ49" s="9"/>
      <c r="AR49" s="9"/>
      <c r="AS49" s="8"/>
      <c r="AT49" s="9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8"/>
      <c r="BX49" s="9"/>
      <c r="BY49" s="9"/>
      <c r="BZ49" s="9"/>
      <c r="CA49" s="33"/>
      <c r="CB49" s="85" t="str">
        <f t="shared" si="3"/>
        <v/>
      </c>
      <c r="CC49" s="86" t="str">
        <f t="shared" si="4"/>
        <v/>
      </c>
      <c r="CD49" s="86" t="str">
        <f t="shared" si="5"/>
        <v/>
      </c>
      <c r="CE49" s="86" t="str">
        <f t="shared" si="6"/>
        <v/>
      </c>
      <c r="CF49" s="86" t="str">
        <f t="shared" si="7"/>
        <v/>
      </c>
      <c r="CG49" s="86" t="str">
        <f t="shared" si="8"/>
        <v/>
      </c>
      <c r="CH49" s="86" t="str">
        <f t="shared" si="9"/>
        <v/>
      </c>
      <c r="CI49" s="86" t="str">
        <f t="shared" si="10"/>
        <v/>
      </c>
      <c r="CJ49" s="86" t="str">
        <f t="shared" si="11"/>
        <v/>
      </c>
      <c r="CK49" s="86" t="str">
        <f t="shared" si="12"/>
        <v/>
      </c>
      <c r="CL49" s="86" t="str">
        <f t="shared" si="13"/>
        <v/>
      </c>
      <c r="CM49" s="87" t="str">
        <f t="shared" si="14"/>
        <v/>
      </c>
      <c r="CN49" s="88" t="str">
        <f t="shared" si="26"/>
        <v/>
      </c>
      <c r="CO49" s="88" t="str">
        <f t="shared" si="15"/>
        <v/>
      </c>
      <c r="CP49" s="88" t="str">
        <f t="shared" si="16"/>
        <v/>
      </c>
      <c r="CQ49" s="88" t="str">
        <f t="shared" si="17"/>
        <v/>
      </c>
      <c r="CR49" s="88" t="str">
        <f t="shared" si="18"/>
        <v/>
      </c>
      <c r="CS49" s="88" t="str">
        <f t="shared" si="19"/>
        <v/>
      </c>
      <c r="CT49" s="88" t="str">
        <f t="shared" si="20"/>
        <v/>
      </c>
      <c r="CU49" s="88" t="str">
        <f t="shared" si="21"/>
        <v/>
      </c>
      <c r="CV49" s="88" t="str">
        <f t="shared" si="22"/>
        <v/>
      </c>
      <c r="CW49" s="88" t="str">
        <f t="shared" si="23"/>
        <v/>
      </c>
      <c r="CX49" s="7"/>
      <c r="CY49" s="7"/>
      <c r="CZ49" s="7"/>
      <c r="DA49" s="8"/>
      <c r="DU49" s="104" t="str">
        <f t="shared" si="24"/>
        <v/>
      </c>
      <c r="DV49" s="93" t="str">
        <f>ABA!$A49</f>
        <v/>
      </c>
      <c r="DW49" s="82" t="str">
        <f t="shared" si="25"/>
        <v/>
      </c>
    </row>
    <row r="50" ht="15.75" customHeight="1">
      <c r="A50" s="85"/>
      <c r="B50" s="107"/>
      <c r="C50" s="98"/>
      <c r="D50" s="98"/>
      <c r="E50" s="99"/>
      <c r="F50" s="98"/>
      <c r="G50" s="98"/>
      <c r="H50" s="98"/>
      <c r="I50" s="99"/>
      <c r="J50" s="98"/>
      <c r="K50" s="98"/>
      <c r="L50" s="98"/>
      <c r="M50" s="99"/>
      <c r="N50" s="98"/>
      <c r="O50" s="98"/>
      <c r="P50" s="98"/>
      <c r="Q50" s="99"/>
      <c r="R50" s="98"/>
      <c r="S50" s="98"/>
      <c r="T50" s="98"/>
      <c r="U50" s="99"/>
      <c r="V50" s="98"/>
      <c r="W50" s="98"/>
      <c r="X50" s="98"/>
      <c r="Y50" s="100"/>
      <c r="Z50" s="98"/>
      <c r="AA50" s="98"/>
      <c r="AB50" s="98"/>
      <c r="AC50" s="99"/>
      <c r="AD50" s="98"/>
      <c r="AE50" s="98"/>
      <c r="AF50" s="98"/>
      <c r="AG50" s="99"/>
      <c r="AH50" s="98"/>
      <c r="AI50" s="98"/>
      <c r="AJ50" s="98"/>
      <c r="AK50" s="99"/>
      <c r="AL50" s="98"/>
      <c r="AM50" s="98"/>
      <c r="AN50" s="98"/>
      <c r="AO50" s="98"/>
      <c r="AP50" s="84" t="str">
        <f t="shared" si="2"/>
        <v/>
      </c>
      <c r="AQ50" s="9"/>
      <c r="AR50" s="9"/>
      <c r="AS50" s="8"/>
      <c r="AT50" s="9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8"/>
      <c r="BX50" s="9"/>
      <c r="BY50" s="9"/>
      <c r="BZ50" s="9"/>
      <c r="CA50" s="33"/>
      <c r="CB50" s="85" t="str">
        <f t="shared" si="3"/>
        <v/>
      </c>
      <c r="CC50" s="86" t="str">
        <f t="shared" si="4"/>
        <v/>
      </c>
      <c r="CD50" s="86" t="str">
        <f t="shared" si="5"/>
        <v/>
      </c>
      <c r="CE50" s="86" t="str">
        <f t="shared" si="6"/>
        <v/>
      </c>
      <c r="CF50" s="86" t="str">
        <f t="shared" si="7"/>
        <v/>
      </c>
      <c r="CG50" s="86" t="str">
        <f t="shared" si="8"/>
        <v/>
      </c>
      <c r="CH50" s="86" t="str">
        <f t="shared" si="9"/>
        <v/>
      </c>
      <c r="CI50" s="86" t="str">
        <f t="shared" si="10"/>
        <v/>
      </c>
      <c r="CJ50" s="86" t="str">
        <f t="shared" si="11"/>
        <v/>
      </c>
      <c r="CK50" s="86" t="str">
        <f t="shared" si="12"/>
        <v/>
      </c>
      <c r="CL50" s="86" t="str">
        <f t="shared" si="13"/>
        <v/>
      </c>
      <c r="CM50" s="87" t="str">
        <f t="shared" si="14"/>
        <v/>
      </c>
      <c r="CN50" s="88" t="str">
        <f t="shared" si="26"/>
        <v/>
      </c>
      <c r="CO50" s="88" t="str">
        <f t="shared" si="15"/>
        <v/>
      </c>
      <c r="CP50" s="88" t="str">
        <f t="shared" si="16"/>
        <v/>
      </c>
      <c r="CQ50" s="88" t="str">
        <f t="shared" si="17"/>
        <v/>
      </c>
      <c r="CR50" s="88" t="str">
        <f t="shared" si="18"/>
        <v/>
      </c>
      <c r="CS50" s="88" t="str">
        <f t="shared" si="19"/>
        <v/>
      </c>
      <c r="CT50" s="88" t="str">
        <f t="shared" si="20"/>
        <v/>
      </c>
      <c r="CU50" s="88" t="str">
        <f t="shared" si="21"/>
        <v/>
      </c>
      <c r="CV50" s="88" t="str">
        <f t="shared" si="22"/>
        <v/>
      </c>
      <c r="CW50" s="88" t="str">
        <f t="shared" si="23"/>
        <v/>
      </c>
      <c r="CX50" s="7"/>
      <c r="CY50" s="7"/>
      <c r="CZ50" s="7"/>
      <c r="DA50" s="8"/>
      <c r="DU50" s="93" t="str">
        <f t="shared" si="24"/>
        <v/>
      </c>
      <c r="DV50" s="104" t="str">
        <f>ABA!$A50</f>
        <v/>
      </c>
      <c r="DW50" s="98" t="str">
        <f t="shared" si="25"/>
        <v/>
      </c>
    </row>
    <row r="51" ht="15.75" customHeight="1">
      <c r="A51" s="78"/>
      <c r="B51" s="105"/>
      <c r="C51" s="82"/>
      <c r="D51" s="82"/>
      <c r="E51" s="83"/>
      <c r="F51" s="82"/>
      <c r="G51" s="82"/>
      <c r="H51" s="82"/>
      <c r="I51" s="83"/>
      <c r="J51" s="82"/>
      <c r="K51" s="82"/>
      <c r="L51" s="82"/>
      <c r="M51" s="83"/>
      <c r="N51" s="82"/>
      <c r="O51" s="82"/>
      <c r="P51" s="82"/>
      <c r="Q51" s="83"/>
      <c r="R51" s="82"/>
      <c r="S51" s="82"/>
      <c r="T51" s="82"/>
      <c r="U51" s="83"/>
      <c r="V51" s="82"/>
      <c r="W51" s="82"/>
      <c r="X51" s="82"/>
      <c r="Y51" s="83"/>
      <c r="Z51" s="82"/>
      <c r="AA51" s="82"/>
      <c r="AB51" s="82"/>
      <c r="AC51" s="83"/>
      <c r="AD51" s="82"/>
      <c r="AE51" s="82"/>
      <c r="AF51" s="82"/>
      <c r="AG51" s="83"/>
      <c r="AH51" s="82"/>
      <c r="AI51" s="82"/>
      <c r="AJ51" s="82"/>
      <c r="AK51" s="83"/>
      <c r="AL51" s="82"/>
      <c r="AM51" s="82"/>
      <c r="AN51" s="82"/>
      <c r="AO51" s="82"/>
      <c r="AP51" s="84" t="str">
        <f t="shared" si="2"/>
        <v/>
      </c>
      <c r="AQ51" s="9"/>
      <c r="AR51" s="9"/>
      <c r="AS51" s="8"/>
      <c r="AT51" s="9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8"/>
      <c r="BX51" s="9"/>
      <c r="BY51" s="9"/>
      <c r="BZ51" s="9"/>
      <c r="CA51" s="33"/>
      <c r="CB51" s="85" t="str">
        <f t="shared" si="3"/>
        <v/>
      </c>
      <c r="CC51" s="86" t="str">
        <f t="shared" si="4"/>
        <v/>
      </c>
      <c r="CD51" s="86" t="str">
        <f t="shared" si="5"/>
        <v/>
      </c>
      <c r="CE51" s="86" t="str">
        <f t="shared" si="6"/>
        <v/>
      </c>
      <c r="CF51" s="86" t="str">
        <f t="shared" si="7"/>
        <v/>
      </c>
      <c r="CG51" s="86" t="str">
        <f t="shared" si="8"/>
        <v/>
      </c>
      <c r="CH51" s="86" t="str">
        <f t="shared" si="9"/>
        <v/>
      </c>
      <c r="CI51" s="86" t="str">
        <f t="shared" si="10"/>
        <v/>
      </c>
      <c r="CJ51" s="86" t="str">
        <f t="shared" si="11"/>
        <v/>
      </c>
      <c r="CK51" s="86" t="str">
        <f t="shared" si="12"/>
        <v/>
      </c>
      <c r="CL51" s="86" t="str">
        <f t="shared" si="13"/>
        <v/>
      </c>
      <c r="CM51" s="87" t="str">
        <f t="shared" si="14"/>
        <v/>
      </c>
      <c r="CN51" s="88" t="str">
        <f t="shared" si="26"/>
        <v/>
      </c>
      <c r="CO51" s="88" t="str">
        <f t="shared" si="15"/>
        <v/>
      </c>
      <c r="CP51" s="88" t="str">
        <f t="shared" si="16"/>
        <v/>
      </c>
      <c r="CQ51" s="88" t="str">
        <f t="shared" si="17"/>
        <v/>
      </c>
      <c r="CR51" s="88" t="str">
        <f t="shared" si="18"/>
        <v/>
      </c>
      <c r="CS51" s="88" t="str">
        <f t="shared" si="19"/>
        <v/>
      </c>
      <c r="CT51" s="88" t="str">
        <f t="shared" si="20"/>
        <v/>
      </c>
      <c r="CU51" s="88" t="str">
        <f t="shared" si="21"/>
        <v/>
      </c>
      <c r="CV51" s="88" t="str">
        <f t="shared" si="22"/>
        <v/>
      </c>
      <c r="CW51" s="88" t="str">
        <f t="shared" si="23"/>
        <v/>
      </c>
      <c r="CX51" s="7"/>
      <c r="CY51" s="7"/>
      <c r="CZ51" s="7"/>
      <c r="DA51" s="8"/>
      <c r="DU51" s="104" t="str">
        <f t="shared" si="24"/>
        <v/>
      </c>
      <c r="DV51" s="93" t="str">
        <f>ABA!$A51</f>
        <v/>
      </c>
      <c r="DW51" s="82" t="str">
        <f t="shared" si="25"/>
        <v/>
      </c>
    </row>
    <row r="52" ht="15.75" customHeight="1">
      <c r="A52" s="85"/>
      <c r="B52" s="107"/>
      <c r="C52" s="98"/>
      <c r="D52" s="98"/>
      <c r="E52" s="99"/>
      <c r="F52" s="98"/>
      <c r="G52" s="98"/>
      <c r="H52" s="98"/>
      <c r="I52" s="99"/>
      <c r="J52" s="98"/>
      <c r="K52" s="98"/>
      <c r="L52" s="98"/>
      <c r="M52" s="99"/>
      <c r="N52" s="98"/>
      <c r="O52" s="98"/>
      <c r="P52" s="98"/>
      <c r="Q52" s="99"/>
      <c r="R52" s="98"/>
      <c r="S52" s="98"/>
      <c r="T52" s="98"/>
      <c r="U52" s="99"/>
      <c r="V52" s="98"/>
      <c r="W52" s="98"/>
      <c r="X52" s="98"/>
      <c r="Y52" s="100"/>
      <c r="Z52" s="98"/>
      <c r="AA52" s="98"/>
      <c r="AB52" s="98"/>
      <c r="AC52" s="99"/>
      <c r="AD52" s="98"/>
      <c r="AE52" s="98"/>
      <c r="AF52" s="98"/>
      <c r="AG52" s="99"/>
      <c r="AH52" s="98"/>
      <c r="AI52" s="98"/>
      <c r="AJ52" s="98"/>
      <c r="AK52" s="99"/>
      <c r="AL52" s="98"/>
      <c r="AM52" s="98"/>
      <c r="AN52" s="98"/>
      <c r="AO52" s="98"/>
      <c r="AP52" s="84" t="str">
        <f t="shared" si="2"/>
        <v/>
      </c>
      <c r="AQ52" s="9"/>
      <c r="AR52" s="9"/>
      <c r="AS52" s="8"/>
      <c r="AT52" s="9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8"/>
      <c r="BX52" s="9"/>
      <c r="BY52" s="9"/>
      <c r="BZ52" s="9"/>
      <c r="CA52" s="33"/>
      <c r="CB52" s="85" t="str">
        <f t="shared" si="3"/>
        <v/>
      </c>
      <c r="CC52" s="86" t="str">
        <f t="shared" si="4"/>
        <v/>
      </c>
      <c r="CD52" s="86" t="str">
        <f t="shared" si="5"/>
        <v/>
      </c>
      <c r="CE52" s="86" t="str">
        <f t="shared" si="6"/>
        <v/>
      </c>
      <c r="CF52" s="86" t="str">
        <f t="shared" si="7"/>
        <v/>
      </c>
      <c r="CG52" s="86" t="str">
        <f t="shared" si="8"/>
        <v/>
      </c>
      <c r="CH52" s="86" t="str">
        <f t="shared" si="9"/>
        <v/>
      </c>
      <c r="CI52" s="86" t="str">
        <f t="shared" si="10"/>
        <v/>
      </c>
      <c r="CJ52" s="86" t="str">
        <f t="shared" si="11"/>
        <v/>
      </c>
      <c r="CK52" s="86" t="str">
        <f t="shared" si="12"/>
        <v/>
      </c>
      <c r="CL52" s="86" t="str">
        <f t="shared" si="13"/>
        <v/>
      </c>
      <c r="CM52" s="87" t="str">
        <f t="shared" si="14"/>
        <v/>
      </c>
      <c r="CN52" s="88" t="str">
        <f t="shared" si="26"/>
        <v/>
      </c>
      <c r="CO52" s="88" t="str">
        <f t="shared" si="15"/>
        <v/>
      </c>
      <c r="CP52" s="88" t="str">
        <f t="shared" si="16"/>
        <v/>
      </c>
      <c r="CQ52" s="88" t="str">
        <f t="shared" si="17"/>
        <v/>
      </c>
      <c r="CR52" s="88" t="str">
        <f t="shared" si="18"/>
        <v/>
      </c>
      <c r="CS52" s="88" t="str">
        <f t="shared" si="19"/>
        <v/>
      </c>
      <c r="CT52" s="88" t="str">
        <f t="shared" si="20"/>
        <v/>
      </c>
      <c r="CU52" s="88" t="str">
        <f t="shared" si="21"/>
        <v/>
      </c>
      <c r="CV52" s="88" t="str">
        <f t="shared" si="22"/>
        <v/>
      </c>
      <c r="CW52" s="88" t="str">
        <f t="shared" si="23"/>
        <v/>
      </c>
      <c r="CX52" s="7"/>
      <c r="CY52" s="7"/>
      <c r="CZ52" s="7"/>
      <c r="DA52" s="8"/>
      <c r="DU52" s="93" t="str">
        <f t="shared" si="24"/>
        <v/>
      </c>
      <c r="DV52" s="104" t="str">
        <f>ABA!$A52</f>
        <v/>
      </c>
      <c r="DW52" s="98" t="str">
        <f t="shared" si="25"/>
        <v/>
      </c>
    </row>
    <row r="53" ht="15.75" customHeight="1">
      <c r="A53" s="78"/>
      <c r="B53" s="105"/>
      <c r="C53" s="82"/>
      <c r="D53" s="82"/>
      <c r="E53" s="83"/>
      <c r="F53" s="82"/>
      <c r="G53" s="82"/>
      <c r="H53" s="82"/>
      <c r="I53" s="83"/>
      <c r="J53" s="82"/>
      <c r="K53" s="82"/>
      <c r="L53" s="82"/>
      <c r="M53" s="83"/>
      <c r="N53" s="82"/>
      <c r="O53" s="82"/>
      <c r="P53" s="82"/>
      <c r="Q53" s="83"/>
      <c r="R53" s="82"/>
      <c r="S53" s="82"/>
      <c r="T53" s="82"/>
      <c r="U53" s="83"/>
      <c r="V53" s="82"/>
      <c r="W53" s="82"/>
      <c r="X53" s="82"/>
      <c r="Y53" s="83"/>
      <c r="Z53" s="82"/>
      <c r="AA53" s="82"/>
      <c r="AB53" s="82"/>
      <c r="AC53" s="83"/>
      <c r="AD53" s="82"/>
      <c r="AE53" s="82"/>
      <c r="AF53" s="82"/>
      <c r="AG53" s="83"/>
      <c r="AH53" s="82"/>
      <c r="AI53" s="82"/>
      <c r="AJ53" s="82"/>
      <c r="AK53" s="83"/>
      <c r="AL53" s="82"/>
      <c r="AM53" s="82"/>
      <c r="AN53" s="82"/>
      <c r="AO53" s="82"/>
      <c r="AP53" s="84" t="str">
        <f t="shared" si="2"/>
        <v/>
      </c>
      <c r="AQ53" s="9"/>
      <c r="AR53" s="9"/>
      <c r="AS53" s="8"/>
      <c r="AT53" s="9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8"/>
      <c r="BX53" s="9"/>
      <c r="BY53" s="9"/>
      <c r="BZ53" s="9"/>
      <c r="CA53" s="33"/>
      <c r="CB53" s="85" t="str">
        <f t="shared" si="3"/>
        <v/>
      </c>
      <c r="CC53" s="86" t="str">
        <f t="shared" si="4"/>
        <v/>
      </c>
      <c r="CD53" s="86" t="str">
        <f t="shared" si="5"/>
        <v/>
      </c>
      <c r="CE53" s="86" t="str">
        <f t="shared" si="6"/>
        <v/>
      </c>
      <c r="CF53" s="86" t="str">
        <f t="shared" si="7"/>
        <v/>
      </c>
      <c r="CG53" s="86" t="str">
        <f t="shared" si="8"/>
        <v/>
      </c>
      <c r="CH53" s="86" t="str">
        <f t="shared" si="9"/>
        <v/>
      </c>
      <c r="CI53" s="86" t="str">
        <f t="shared" si="10"/>
        <v/>
      </c>
      <c r="CJ53" s="86" t="str">
        <f t="shared" si="11"/>
        <v/>
      </c>
      <c r="CK53" s="86" t="str">
        <f t="shared" si="12"/>
        <v/>
      </c>
      <c r="CL53" s="86" t="str">
        <f t="shared" si="13"/>
        <v/>
      </c>
      <c r="CM53" s="87" t="str">
        <f t="shared" si="14"/>
        <v/>
      </c>
      <c r="CN53" s="88" t="str">
        <f t="shared" si="26"/>
        <v/>
      </c>
      <c r="CO53" s="88" t="str">
        <f t="shared" si="15"/>
        <v/>
      </c>
      <c r="CP53" s="88" t="str">
        <f t="shared" si="16"/>
        <v/>
      </c>
      <c r="CQ53" s="88" t="str">
        <f t="shared" si="17"/>
        <v/>
      </c>
      <c r="CR53" s="88" t="str">
        <f t="shared" si="18"/>
        <v/>
      </c>
      <c r="CS53" s="88" t="str">
        <f t="shared" si="19"/>
        <v/>
      </c>
      <c r="CT53" s="88" t="str">
        <f t="shared" si="20"/>
        <v/>
      </c>
      <c r="CU53" s="88" t="str">
        <f t="shared" si="21"/>
        <v/>
      </c>
      <c r="CV53" s="88" t="str">
        <f t="shared" si="22"/>
        <v/>
      </c>
      <c r="CW53" s="88" t="str">
        <f t="shared" si="23"/>
        <v/>
      </c>
      <c r="CX53" s="7"/>
      <c r="CY53" s="7"/>
      <c r="CZ53" s="7"/>
      <c r="DA53" s="8"/>
      <c r="DU53" s="104" t="str">
        <f t="shared" si="24"/>
        <v/>
      </c>
      <c r="DV53" s="93" t="str">
        <f>ABA!$A53</f>
        <v/>
      </c>
      <c r="DW53" s="82" t="str">
        <f t="shared" si="25"/>
        <v/>
      </c>
    </row>
    <row r="54" ht="15.75" customHeight="1">
      <c r="A54" s="85"/>
      <c r="B54" s="107"/>
      <c r="C54" s="98"/>
      <c r="D54" s="98"/>
      <c r="E54" s="99"/>
      <c r="F54" s="98"/>
      <c r="G54" s="98"/>
      <c r="H54" s="98"/>
      <c r="I54" s="99"/>
      <c r="J54" s="98"/>
      <c r="K54" s="98"/>
      <c r="L54" s="98"/>
      <c r="M54" s="99"/>
      <c r="N54" s="98"/>
      <c r="O54" s="98"/>
      <c r="P54" s="98"/>
      <c r="Q54" s="99"/>
      <c r="R54" s="98"/>
      <c r="S54" s="98"/>
      <c r="T54" s="98"/>
      <c r="U54" s="99"/>
      <c r="V54" s="98"/>
      <c r="W54" s="98"/>
      <c r="X54" s="98"/>
      <c r="Y54" s="100"/>
      <c r="Z54" s="98"/>
      <c r="AA54" s="98"/>
      <c r="AB54" s="98"/>
      <c r="AC54" s="99"/>
      <c r="AD54" s="98"/>
      <c r="AE54" s="98"/>
      <c r="AF54" s="98"/>
      <c r="AG54" s="99"/>
      <c r="AH54" s="98"/>
      <c r="AI54" s="98"/>
      <c r="AJ54" s="98"/>
      <c r="AK54" s="99"/>
      <c r="AL54" s="98"/>
      <c r="AM54" s="98"/>
      <c r="AN54" s="98"/>
      <c r="AO54" s="98"/>
      <c r="AP54" s="84" t="str">
        <f t="shared" si="2"/>
        <v/>
      </c>
      <c r="AQ54" s="9"/>
      <c r="AR54" s="9"/>
      <c r="AS54" s="8"/>
      <c r="AT54" s="9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8"/>
      <c r="BX54" s="9"/>
      <c r="BY54" s="9"/>
      <c r="BZ54" s="9"/>
      <c r="CA54" s="33"/>
      <c r="CB54" s="85" t="str">
        <f t="shared" si="3"/>
        <v/>
      </c>
      <c r="CC54" s="86" t="str">
        <f t="shared" si="4"/>
        <v/>
      </c>
      <c r="CD54" s="86" t="str">
        <f t="shared" si="5"/>
        <v/>
      </c>
      <c r="CE54" s="86" t="str">
        <f t="shared" si="6"/>
        <v/>
      </c>
      <c r="CF54" s="86" t="str">
        <f t="shared" si="7"/>
        <v/>
      </c>
      <c r="CG54" s="86" t="str">
        <f t="shared" si="8"/>
        <v/>
      </c>
      <c r="CH54" s="86" t="str">
        <f t="shared" si="9"/>
        <v/>
      </c>
      <c r="CI54" s="86" t="str">
        <f t="shared" si="10"/>
        <v/>
      </c>
      <c r="CJ54" s="86" t="str">
        <f t="shared" si="11"/>
        <v/>
      </c>
      <c r="CK54" s="86" t="str">
        <f t="shared" si="12"/>
        <v/>
      </c>
      <c r="CL54" s="86" t="str">
        <f t="shared" si="13"/>
        <v/>
      </c>
      <c r="CM54" s="87" t="str">
        <f t="shared" si="14"/>
        <v/>
      </c>
      <c r="CN54" s="88" t="str">
        <f t="shared" si="26"/>
        <v/>
      </c>
      <c r="CO54" s="88" t="str">
        <f t="shared" si="15"/>
        <v/>
      </c>
      <c r="CP54" s="88" t="str">
        <f t="shared" si="16"/>
        <v/>
      </c>
      <c r="CQ54" s="88" t="str">
        <f t="shared" si="17"/>
        <v/>
      </c>
      <c r="CR54" s="88" t="str">
        <f t="shared" si="18"/>
        <v/>
      </c>
      <c r="CS54" s="88" t="str">
        <f t="shared" si="19"/>
        <v/>
      </c>
      <c r="CT54" s="88" t="str">
        <f t="shared" si="20"/>
        <v/>
      </c>
      <c r="CU54" s="88" t="str">
        <f t="shared" si="21"/>
        <v/>
      </c>
      <c r="CV54" s="88" t="str">
        <f t="shared" si="22"/>
        <v/>
      </c>
      <c r="CW54" s="88" t="str">
        <f t="shared" si="23"/>
        <v/>
      </c>
      <c r="CX54" s="7"/>
      <c r="CY54" s="7"/>
      <c r="CZ54" s="7"/>
      <c r="DA54" s="8"/>
      <c r="DU54" s="93" t="str">
        <f t="shared" si="24"/>
        <v/>
      </c>
      <c r="DV54" s="104" t="str">
        <f>ABA!$A54</f>
        <v/>
      </c>
      <c r="DW54" s="98" t="str">
        <f t="shared" si="25"/>
        <v/>
      </c>
    </row>
    <row r="55" ht="15.75" customHeight="1">
      <c r="A55" s="78"/>
      <c r="B55" s="105"/>
      <c r="C55" s="82"/>
      <c r="D55" s="82"/>
      <c r="E55" s="83"/>
      <c r="F55" s="82"/>
      <c r="G55" s="82"/>
      <c r="H55" s="82"/>
      <c r="I55" s="83"/>
      <c r="J55" s="82"/>
      <c r="K55" s="82"/>
      <c r="L55" s="82"/>
      <c r="M55" s="83"/>
      <c r="N55" s="82"/>
      <c r="O55" s="82"/>
      <c r="P55" s="82"/>
      <c r="Q55" s="83"/>
      <c r="R55" s="82"/>
      <c r="S55" s="82"/>
      <c r="T55" s="82"/>
      <c r="U55" s="83"/>
      <c r="V55" s="82"/>
      <c r="W55" s="82"/>
      <c r="X55" s="82"/>
      <c r="Y55" s="83"/>
      <c r="Z55" s="82"/>
      <c r="AA55" s="82"/>
      <c r="AB55" s="82"/>
      <c r="AC55" s="83"/>
      <c r="AD55" s="82"/>
      <c r="AE55" s="82"/>
      <c r="AF55" s="82"/>
      <c r="AG55" s="83"/>
      <c r="AH55" s="82"/>
      <c r="AI55" s="82"/>
      <c r="AJ55" s="82"/>
      <c r="AK55" s="83"/>
      <c r="AL55" s="82"/>
      <c r="AM55" s="82"/>
      <c r="AN55" s="82"/>
      <c r="AO55" s="82"/>
      <c r="AP55" s="84" t="str">
        <f t="shared" si="2"/>
        <v/>
      </c>
      <c r="AQ55" s="9"/>
      <c r="AR55" s="9"/>
      <c r="AS55" s="8"/>
      <c r="AT55" s="9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8"/>
      <c r="BX55" s="9"/>
      <c r="BY55" s="9"/>
      <c r="BZ55" s="9"/>
      <c r="CA55" s="33"/>
      <c r="CB55" s="85" t="str">
        <f t="shared" si="3"/>
        <v/>
      </c>
      <c r="CC55" s="86" t="str">
        <f t="shared" si="4"/>
        <v/>
      </c>
      <c r="CD55" s="86" t="str">
        <f t="shared" si="5"/>
        <v/>
      </c>
      <c r="CE55" s="86" t="str">
        <f t="shared" si="6"/>
        <v/>
      </c>
      <c r="CF55" s="86" t="str">
        <f t="shared" si="7"/>
        <v/>
      </c>
      <c r="CG55" s="86" t="str">
        <f t="shared" si="8"/>
        <v/>
      </c>
      <c r="CH55" s="86" t="str">
        <f t="shared" si="9"/>
        <v/>
      </c>
      <c r="CI55" s="86" t="str">
        <f t="shared" si="10"/>
        <v/>
      </c>
      <c r="CJ55" s="86" t="str">
        <f t="shared" si="11"/>
        <v/>
      </c>
      <c r="CK55" s="86" t="str">
        <f t="shared" si="12"/>
        <v/>
      </c>
      <c r="CL55" s="86" t="str">
        <f t="shared" si="13"/>
        <v/>
      </c>
      <c r="CM55" s="87" t="str">
        <f t="shared" si="14"/>
        <v/>
      </c>
      <c r="CN55" s="88" t="str">
        <f t="shared" si="26"/>
        <v/>
      </c>
      <c r="CO55" s="88" t="str">
        <f t="shared" si="15"/>
        <v/>
      </c>
      <c r="CP55" s="88" t="str">
        <f t="shared" si="16"/>
        <v/>
      </c>
      <c r="CQ55" s="88" t="str">
        <f t="shared" si="17"/>
        <v/>
      </c>
      <c r="CR55" s="88" t="str">
        <f t="shared" si="18"/>
        <v/>
      </c>
      <c r="CS55" s="88" t="str">
        <f t="shared" si="19"/>
        <v/>
      </c>
      <c r="CT55" s="88" t="str">
        <f t="shared" si="20"/>
        <v/>
      </c>
      <c r="CU55" s="88" t="str">
        <f t="shared" si="21"/>
        <v/>
      </c>
      <c r="CV55" s="88" t="str">
        <f t="shared" si="22"/>
        <v/>
      </c>
      <c r="CW55" s="88" t="str">
        <f t="shared" si="23"/>
        <v/>
      </c>
      <c r="CX55" s="7"/>
      <c r="CY55" s="7"/>
      <c r="CZ55" s="7"/>
      <c r="DA55" s="8"/>
      <c r="DU55" s="104" t="str">
        <f t="shared" si="24"/>
        <v/>
      </c>
      <c r="DV55" s="93" t="str">
        <f>ABA!$A55</f>
        <v/>
      </c>
      <c r="DW55" s="82" t="str">
        <f t="shared" si="25"/>
        <v/>
      </c>
    </row>
    <row r="56" ht="15.75" customHeight="1">
      <c r="A56" s="85"/>
      <c r="B56" s="107"/>
      <c r="C56" s="98"/>
      <c r="D56" s="98"/>
      <c r="E56" s="99"/>
      <c r="F56" s="98"/>
      <c r="G56" s="98"/>
      <c r="H56" s="98"/>
      <c r="I56" s="99"/>
      <c r="J56" s="98"/>
      <c r="K56" s="98"/>
      <c r="L56" s="98"/>
      <c r="M56" s="99"/>
      <c r="N56" s="98"/>
      <c r="O56" s="98"/>
      <c r="P56" s="98"/>
      <c r="Q56" s="99"/>
      <c r="R56" s="98"/>
      <c r="S56" s="98"/>
      <c r="T56" s="98"/>
      <c r="U56" s="99"/>
      <c r="V56" s="98"/>
      <c r="W56" s="98"/>
      <c r="X56" s="98"/>
      <c r="Y56" s="100"/>
      <c r="Z56" s="98"/>
      <c r="AA56" s="98"/>
      <c r="AB56" s="98"/>
      <c r="AC56" s="99"/>
      <c r="AD56" s="98"/>
      <c r="AE56" s="98"/>
      <c r="AF56" s="98"/>
      <c r="AG56" s="99"/>
      <c r="AH56" s="98"/>
      <c r="AI56" s="98"/>
      <c r="AJ56" s="98"/>
      <c r="AK56" s="99"/>
      <c r="AL56" s="98"/>
      <c r="AM56" s="98"/>
      <c r="AN56" s="98"/>
      <c r="AO56" s="98"/>
      <c r="AP56" s="84" t="str">
        <f t="shared" si="2"/>
        <v/>
      </c>
      <c r="AQ56" s="9"/>
      <c r="AR56" s="9"/>
      <c r="AS56" s="8"/>
      <c r="AT56" s="9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8"/>
      <c r="BX56" s="9"/>
      <c r="BY56" s="9"/>
      <c r="BZ56" s="9"/>
      <c r="CA56" s="33"/>
      <c r="CB56" s="85" t="str">
        <f t="shared" si="3"/>
        <v/>
      </c>
      <c r="CC56" s="86" t="str">
        <f t="shared" si="4"/>
        <v/>
      </c>
      <c r="CD56" s="86" t="str">
        <f t="shared" si="5"/>
        <v/>
      </c>
      <c r="CE56" s="86" t="str">
        <f t="shared" si="6"/>
        <v/>
      </c>
      <c r="CF56" s="86" t="str">
        <f t="shared" si="7"/>
        <v/>
      </c>
      <c r="CG56" s="86" t="str">
        <f t="shared" si="8"/>
        <v/>
      </c>
      <c r="CH56" s="86" t="str">
        <f t="shared" si="9"/>
        <v/>
      </c>
      <c r="CI56" s="86" t="str">
        <f t="shared" si="10"/>
        <v/>
      </c>
      <c r="CJ56" s="86" t="str">
        <f t="shared" si="11"/>
        <v/>
      </c>
      <c r="CK56" s="86" t="str">
        <f t="shared" si="12"/>
        <v/>
      </c>
      <c r="CL56" s="86" t="str">
        <f t="shared" si="13"/>
        <v/>
      </c>
      <c r="CM56" s="87" t="str">
        <f t="shared" si="14"/>
        <v/>
      </c>
      <c r="CN56" s="88" t="str">
        <f t="shared" si="26"/>
        <v/>
      </c>
      <c r="CO56" s="88" t="str">
        <f t="shared" si="15"/>
        <v/>
      </c>
      <c r="CP56" s="88" t="str">
        <f t="shared" si="16"/>
        <v/>
      </c>
      <c r="CQ56" s="88" t="str">
        <f t="shared" si="17"/>
        <v/>
      </c>
      <c r="CR56" s="88" t="str">
        <f t="shared" si="18"/>
        <v/>
      </c>
      <c r="CS56" s="88" t="str">
        <f t="shared" si="19"/>
        <v/>
      </c>
      <c r="CT56" s="88" t="str">
        <f t="shared" si="20"/>
        <v/>
      </c>
      <c r="CU56" s="88" t="str">
        <f t="shared" si="21"/>
        <v/>
      </c>
      <c r="CV56" s="88" t="str">
        <f t="shared" si="22"/>
        <v/>
      </c>
      <c r="CW56" s="88" t="str">
        <f t="shared" si="23"/>
        <v/>
      </c>
      <c r="CX56" s="7"/>
      <c r="CY56" s="7"/>
      <c r="CZ56" s="7"/>
      <c r="DA56" s="8"/>
      <c r="DU56" s="93" t="str">
        <f t="shared" si="24"/>
        <v/>
      </c>
      <c r="DV56" s="104" t="str">
        <f>ABA!$A56</f>
        <v/>
      </c>
      <c r="DW56" s="98" t="str">
        <f t="shared" si="25"/>
        <v/>
      </c>
    </row>
    <row r="57" ht="15.75" customHeight="1">
      <c r="A57" s="78"/>
      <c r="B57" s="105"/>
      <c r="C57" s="82"/>
      <c r="D57" s="82"/>
      <c r="E57" s="83"/>
      <c r="F57" s="82"/>
      <c r="G57" s="82"/>
      <c r="H57" s="82"/>
      <c r="I57" s="83"/>
      <c r="J57" s="82"/>
      <c r="K57" s="82"/>
      <c r="L57" s="82"/>
      <c r="M57" s="83"/>
      <c r="N57" s="82"/>
      <c r="O57" s="82"/>
      <c r="P57" s="82"/>
      <c r="Q57" s="83"/>
      <c r="R57" s="82"/>
      <c r="S57" s="82"/>
      <c r="T57" s="82"/>
      <c r="U57" s="83"/>
      <c r="V57" s="82"/>
      <c r="W57" s="82"/>
      <c r="X57" s="82"/>
      <c r="Y57" s="83"/>
      <c r="Z57" s="82"/>
      <c r="AA57" s="82"/>
      <c r="AB57" s="82"/>
      <c r="AC57" s="83"/>
      <c r="AD57" s="82"/>
      <c r="AE57" s="82"/>
      <c r="AF57" s="82"/>
      <c r="AG57" s="83"/>
      <c r="AH57" s="82"/>
      <c r="AI57" s="82"/>
      <c r="AJ57" s="82"/>
      <c r="AK57" s="83"/>
      <c r="AL57" s="82"/>
      <c r="AM57" s="82"/>
      <c r="AN57" s="82"/>
      <c r="AO57" s="82"/>
      <c r="AP57" s="84" t="str">
        <f t="shared" si="2"/>
        <v/>
      </c>
      <c r="AQ57" s="9"/>
      <c r="AR57" s="9"/>
      <c r="AS57" s="8"/>
      <c r="AT57" s="9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8"/>
      <c r="BX57" s="9"/>
      <c r="BY57" s="9"/>
      <c r="BZ57" s="9"/>
      <c r="CA57" s="33"/>
      <c r="CB57" s="85" t="str">
        <f t="shared" si="3"/>
        <v/>
      </c>
      <c r="CC57" s="86" t="str">
        <f t="shared" si="4"/>
        <v/>
      </c>
      <c r="CD57" s="86" t="str">
        <f t="shared" si="5"/>
        <v/>
      </c>
      <c r="CE57" s="86" t="str">
        <f t="shared" si="6"/>
        <v/>
      </c>
      <c r="CF57" s="86" t="str">
        <f t="shared" si="7"/>
        <v/>
      </c>
      <c r="CG57" s="86" t="str">
        <f t="shared" si="8"/>
        <v/>
      </c>
      <c r="CH57" s="86" t="str">
        <f t="shared" si="9"/>
        <v/>
      </c>
      <c r="CI57" s="86" t="str">
        <f t="shared" si="10"/>
        <v/>
      </c>
      <c r="CJ57" s="86" t="str">
        <f t="shared" si="11"/>
        <v/>
      </c>
      <c r="CK57" s="86" t="str">
        <f t="shared" si="12"/>
        <v/>
      </c>
      <c r="CL57" s="86" t="str">
        <f t="shared" si="13"/>
        <v/>
      </c>
      <c r="CM57" s="87" t="str">
        <f t="shared" si="14"/>
        <v/>
      </c>
      <c r="CN57" s="88" t="str">
        <f t="shared" si="26"/>
        <v/>
      </c>
      <c r="CO57" s="88" t="str">
        <f t="shared" si="15"/>
        <v/>
      </c>
      <c r="CP57" s="88" t="str">
        <f t="shared" si="16"/>
        <v/>
      </c>
      <c r="CQ57" s="88" t="str">
        <f t="shared" si="17"/>
        <v/>
      </c>
      <c r="CR57" s="88" t="str">
        <f t="shared" si="18"/>
        <v/>
      </c>
      <c r="CS57" s="88" t="str">
        <f t="shared" si="19"/>
        <v/>
      </c>
      <c r="CT57" s="88" t="str">
        <f t="shared" si="20"/>
        <v/>
      </c>
      <c r="CU57" s="88" t="str">
        <f t="shared" si="21"/>
        <v/>
      </c>
      <c r="CV57" s="88" t="str">
        <f t="shared" si="22"/>
        <v/>
      </c>
      <c r="CW57" s="88" t="str">
        <f t="shared" si="23"/>
        <v/>
      </c>
      <c r="CX57" s="7"/>
      <c r="CY57" s="7"/>
      <c r="CZ57" s="7"/>
      <c r="DA57" s="8"/>
      <c r="DU57" s="104" t="str">
        <f t="shared" si="24"/>
        <v/>
      </c>
      <c r="DV57" s="93" t="str">
        <f>ABA!$A57</f>
        <v/>
      </c>
      <c r="DW57" s="82" t="str">
        <f t="shared" si="25"/>
        <v/>
      </c>
    </row>
    <row r="58" ht="15.75" customHeight="1">
      <c r="A58" s="85"/>
      <c r="B58" s="107"/>
      <c r="C58" s="98"/>
      <c r="D58" s="98"/>
      <c r="E58" s="99"/>
      <c r="F58" s="98"/>
      <c r="G58" s="98"/>
      <c r="H58" s="98"/>
      <c r="I58" s="99"/>
      <c r="J58" s="98"/>
      <c r="K58" s="98"/>
      <c r="L58" s="98"/>
      <c r="M58" s="99"/>
      <c r="N58" s="98"/>
      <c r="O58" s="98"/>
      <c r="P58" s="98"/>
      <c r="Q58" s="99"/>
      <c r="R58" s="98"/>
      <c r="S58" s="98"/>
      <c r="T58" s="98"/>
      <c r="U58" s="99"/>
      <c r="V58" s="98"/>
      <c r="W58" s="98"/>
      <c r="X58" s="98"/>
      <c r="Y58" s="100"/>
      <c r="Z58" s="98"/>
      <c r="AA58" s="98"/>
      <c r="AB58" s="98"/>
      <c r="AC58" s="99"/>
      <c r="AD58" s="98"/>
      <c r="AE58" s="98"/>
      <c r="AF58" s="98"/>
      <c r="AG58" s="99"/>
      <c r="AH58" s="98"/>
      <c r="AI58" s="98"/>
      <c r="AJ58" s="98"/>
      <c r="AK58" s="99"/>
      <c r="AL58" s="98"/>
      <c r="AM58" s="98"/>
      <c r="AN58" s="98"/>
      <c r="AO58" s="98"/>
      <c r="AP58" s="84" t="str">
        <f t="shared" si="2"/>
        <v/>
      </c>
      <c r="AQ58" s="9"/>
      <c r="AR58" s="9"/>
      <c r="AS58" s="8"/>
      <c r="AT58" s="9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8"/>
      <c r="BX58" s="9"/>
      <c r="BY58" s="9"/>
      <c r="BZ58" s="9"/>
      <c r="CA58" s="33"/>
      <c r="CB58" s="85" t="str">
        <f t="shared" si="3"/>
        <v/>
      </c>
      <c r="CC58" s="86" t="str">
        <f t="shared" si="4"/>
        <v/>
      </c>
      <c r="CD58" s="86" t="str">
        <f t="shared" si="5"/>
        <v/>
      </c>
      <c r="CE58" s="86" t="str">
        <f t="shared" si="6"/>
        <v/>
      </c>
      <c r="CF58" s="86" t="str">
        <f t="shared" si="7"/>
        <v/>
      </c>
      <c r="CG58" s="86" t="str">
        <f t="shared" si="8"/>
        <v/>
      </c>
      <c r="CH58" s="86" t="str">
        <f t="shared" si="9"/>
        <v/>
      </c>
      <c r="CI58" s="86" t="str">
        <f t="shared" si="10"/>
        <v/>
      </c>
      <c r="CJ58" s="86" t="str">
        <f t="shared" si="11"/>
        <v/>
      </c>
      <c r="CK58" s="86" t="str">
        <f t="shared" si="12"/>
        <v/>
      </c>
      <c r="CL58" s="86" t="str">
        <f t="shared" si="13"/>
        <v/>
      </c>
      <c r="CM58" s="87" t="str">
        <f t="shared" si="14"/>
        <v/>
      </c>
      <c r="CN58" s="88" t="str">
        <f t="shared" si="26"/>
        <v/>
      </c>
      <c r="CO58" s="88" t="str">
        <f t="shared" si="15"/>
        <v/>
      </c>
      <c r="CP58" s="88" t="str">
        <f t="shared" si="16"/>
        <v/>
      </c>
      <c r="CQ58" s="88" t="str">
        <f t="shared" si="17"/>
        <v/>
      </c>
      <c r="CR58" s="88" t="str">
        <f t="shared" si="18"/>
        <v/>
      </c>
      <c r="CS58" s="88" t="str">
        <f t="shared" si="19"/>
        <v/>
      </c>
      <c r="CT58" s="88" t="str">
        <f t="shared" si="20"/>
        <v/>
      </c>
      <c r="CU58" s="88" t="str">
        <f t="shared" si="21"/>
        <v/>
      </c>
      <c r="CV58" s="88" t="str">
        <f t="shared" si="22"/>
        <v/>
      </c>
      <c r="CW58" s="88" t="str">
        <f t="shared" si="23"/>
        <v/>
      </c>
      <c r="CX58" s="7"/>
      <c r="CY58" s="7"/>
      <c r="CZ58" s="7"/>
      <c r="DA58" s="8"/>
      <c r="DU58" s="93" t="str">
        <f t="shared" si="24"/>
        <v/>
      </c>
      <c r="DV58" s="104" t="str">
        <f>ABA!$A58</f>
        <v/>
      </c>
      <c r="DW58" s="98" t="str">
        <f t="shared" si="25"/>
        <v/>
      </c>
    </row>
    <row r="59" ht="15.75" customHeight="1">
      <c r="A59" s="78"/>
      <c r="B59" s="105"/>
      <c r="C59" s="82"/>
      <c r="D59" s="82"/>
      <c r="E59" s="83"/>
      <c r="F59" s="82"/>
      <c r="G59" s="82"/>
      <c r="H59" s="82"/>
      <c r="I59" s="83"/>
      <c r="J59" s="82"/>
      <c r="K59" s="82"/>
      <c r="L59" s="82"/>
      <c r="M59" s="83"/>
      <c r="N59" s="82"/>
      <c r="O59" s="82"/>
      <c r="P59" s="82"/>
      <c r="Q59" s="83"/>
      <c r="R59" s="82"/>
      <c r="S59" s="82"/>
      <c r="T59" s="82"/>
      <c r="U59" s="83"/>
      <c r="V59" s="82"/>
      <c r="W59" s="82"/>
      <c r="X59" s="82"/>
      <c r="Y59" s="83"/>
      <c r="Z59" s="82"/>
      <c r="AA59" s="82"/>
      <c r="AB59" s="82"/>
      <c r="AC59" s="83"/>
      <c r="AD59" s="82"/>
      <c r="AE59" s="82"/>
      <c r="AF59" s="82"/>
      <c r="AG59" s="83"/>
      <c r="AH59" s="82"/>
      <c r="AI59" s="82"/>
      <c r="AJ59" s="82"/>
      <c r="AK59" s="83"/>
      <c r="AL59" s="82"/>
      <c r="AM59" s="82"/>
      <c r="AN59" s="82"/>
      <c r="AO59" s="82"/>
      <c r="AP59" s="84" t="str">
        <f t="shared" si="2"/>
        <v/>
      </c>
      <c r="AQ59" s="9"/>
      <c r="AR59" s="9"/>
      <c r="AS59" s="8"/>
      <c r="AT59" s="9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8"/>
      <c r="BX59" s="9"/>
      <c r="BY59" s="9"/>
      <c r="BZ59" s="9"/>
      <c r="CA59" s="33"/>
      <c r="CB59" s="85" t="str">
        <f t="shared" si="3"/>
        <v/>
      </c>
      <c r="CC59" s="86" t="str">
        <f t="shared" si="4"/>
        <v/>
      </c>
      <c r="CD59" s="86" t="str">
        <f t="shared" si="5"/>
        <v/>
      </c>
      <c r="CE59" s="86" t="str">
        <f t="shared" si="6"/>
        <v/>
      </c>
      <c r="CF59" s="86" t="str">
        <f t="shared" si="7"/>
        <v/>
      </c>
      <c r="CG59" s="86" t="str">
        <f t="shared" si="8"/>
        <v/>
      </c>
      <c r="CH59" s="86" t="str">
        <f t="shared" si="9"/>
        <v/>
      </c>
      <c r="CI59" s="86" t="str">
        <f t="shared" si="10"/>
        <v/>
      </c>
      <c r="CJ59" s="86" t="str">
        <f t="shared" si="11"/>
        <v/>
      </c>
      <c r="CK59" s="86" t="str">
        <f t="shared" si="12"/>
        <v/>
      </c>
      <c r="CL59" s="86" t="str">
        <f t="shared" si="13"/>
        <v/>
      </c>
      <c r="CM59" s="87" t="str">
        <f t="shared" si="14"/>
        <v/>
      </c>
      <c r="CN59" s="88" t="str">
        <f t="shared" si="26"/>
        <v/>
      </c>
      <c r="CO59" s="88" t="str">
        <f t="shared" si="15"/>
        <v/>
      </c>
      <c r="CP59" s="88" t="str">
        <f t="shared" si="16"/>
        <v/>
      </c>
      <c r="CQ59" s="88" t="str">
        <f t="shared" si="17"/>
        <v/>
      </c>
      <c r="CR59" s="88" t="str">
        <f t="shared" si="18"/>
        <v/>
      </c>
      <c r="CS59" s="88" t="str">
        <f t="shared" si="19"/>
        <v/>
      </c>
      <c r="CT59" s="88" t="str">
        <f t="shared" si="20"/>
        <v/>
      </c>
      <c r="CU59" s="88" t="str">
        <f t="shared" si="21"/>
        <v/>
      </c>
      <c r="CV59" s="88" t="str">
        <f t="shared" si="22"/>
        <v/>
      </c>
      <c r="CW59" s="88" t="str">
        <f t="shared" si="23"/>
        <v/>
      </c>
      <c r="CX59" s="7"/>
      <c r="CY59" s="7"/>
      <c r="CZ59" s="7"/>
      <c r="DA59" s="8"/>
      <c r="DU59" s="104" t="str">
        <f t="shared" si="24"/>
        <v/>
      </c>
      <c r="DV59" s="93" t="str">
        <f>ABA!$A59</f>
        <v/>
      </c>
      <c r="DW59" s="82" t="str">
        <f t="shared" si="25"/>
        <v/>
      </c>
    </row>
    <row r="60" ht="15.75" customHeight="1">
      <c r="A60" s="85"/>
      <c r="B60" s="107"/>
      <c r="C60" s="98"/>
      <c r="D60" s="98"/>
      <c r="E60" s="99"/>
      <c r="F60" s="98"/>
      <c r="G60" s="98"/>
      <c r="H60" s="98"/>
      <c r="I60" s="99"/>
      <c r="J60" s="98"/>
      <c r="K60" s="98"/>
      <c r="L60" s="98"/>
      <c r="M60" s="99"/>
      <c r="N60" s="98"/>
      <c r="O60" s="98"/>
      <c r="P60" s="98"/>
      <c r="Q60" s="99"/>
      <c r="R60" s="98"/>
      <c r="S60" s="98"/>
      <c r="T60" s="98"/>
      <c r="U60" s="99"/>
      <c r="V60" s="98"/>
      <c r="W60" s="98"/>
      <c r="X60" s="98"/>
      <c r="Y60" s="100"/>
      <c r="Z60" s="98"/>
      <c r="AA60" s="98"/>
      <c r="AB60" s="98"/>
      <c r="AC60" s="99"/>
      <c r="AD60" s="98"/>
      <c r="AE60" s="98"/>
      <c r="AF60" s="98"/>
      <c r="AG60" s="99"/>
      <c r="AH60" s="98"/>
      <c r="AI60" s="98"/>
      <c r="AJ60" s="98"/>
      <c r="AK60" s="99"/>
      <c r="AL60" s="98"/>
      <c r="AM60" s="98"/>
      <c r="AN60" s="98"/>
      <c r="AO60" s="98"/>
      <c r="AP60" s="84" t="str">
        <f t="shared" si="2"/>
        <v/>
      </c>
      <c r="AQ60" s="9"/>
      <c r="AR60" s="9"/>
      <c r="AS60" s="8"/>
      <c r="AT60" s="9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8"/>
      <c r="BX60" s="9"/>
      <c r="BY60" s="9"/>
      <c r="BZ60" s="9"/>
      <c r="CA60" s="33"/>
      <c r="CB60" s="85" t="str">
        <f t="shared" si="3"/>
        <v/>
      </c>
      <c r="CC60" s="86" t="str">
        <f t="shared" si="4"/>
        <v/>
      </c>
      <c r="CD60" s="86" t="str">
        <f t="shared" si="5"/>
        <v/>
      </c>
      <c r="CE60" s="86" t="str">
        <f t="shared" si="6"/>
        <v/>
      </c>
      <c r="CF60" s="86" t="str">
        <f t="shared" si="7"/>
        <v/>
      </c>
      <c r="CG60" s="86" t="str">
        <f t="shared" si="8"/>
        <v/>
      </c>
      <c r="CH60" s="86" t="str">
        <f t="shared" si="9"/>
        <v/>
      </c>
      <c r="CI60" s="86" t="str">
        <f t="shared" si="10"/>
        <v/>
      </c>
      <c r="CJ60" s="86" t="str">
        <f t="shared" si="11"/>
        <v/>
      </c>
      <c r="CK60" s="86" t="str">
        <f t="shared" si="12"/>
        <v/>
      </c>
      <c r="CL60" s="86" t="str">
        <f t="shared" si="13"/>
        <v/>
      </c>
      <c r="CM60" s="87" t="str">
        <f t="shared" si="14"/>
        <v/>
      </c>
      <c r="CN60" s="88" t="str">
        <f t="shared" si="26"/>
        <v/>
      </c>
      <c r="CO60" s="88" t="str">
        <f t="shared" si="15"/>
        <v/>
      </c>
      <c r="CP60" s="88" t="str">
        <f t="shared" si="16"/>
        <v/>
      </c>
      <c r="CQ60" s="88" t="str">
        <f t="shared" si="17"/>
        <v/>
      </c>
      <c r="CR60" s="88" t="str">
        <f t="shared" si="18"/>
        <v/>
      </c>
      <c r="CS60" s="88" t="str">
        <f t="shared" si="19"/>
        <v/>
      </c>
      <c r="CT60" s="88" t="str">
        <f t="shared" si="20"/>
        <v/>
      </c>
      <c r="CU60" s="88" t="str">
        <f t="shared" si="21"/>
        <v/>
      </c>
      <c r="CV60" s="88" t="str">
        <f t="shared" si="22"/>
        <v/>
      </c>
      <c r="CW60" s="88" t="str">
        <f t="shared" si="23"/>
        <v/>
      </c>
      <c r="CX60" s="7"/>
      <c r="CY60" s="7"/>
      <c r="CZ60" s="7"/>
      <c r="DA60" s="8"/>
      <c r="DU60" s="93" t="str">
        <f t="shared" si="24"/>
        <v/>
      </c>
      <c r="DV60" s="104" t="str">
        <f>ABA!$A60</f>
        <v/>
      </c>
      <c r="DW60" s="98" t="str">
        <f t="shared" si="25"/>
        <v/>
      </c>
    </row>
    <row r="61" ht="15.75" customHeight="1">
      <c r="A61" s="78"/>
      <c r="B61" s="105"/>
      <c r="C61" s="82"/>
      <c r="D61" s="82"/>
      <c r="E61" s="83"/>
      <c r="F61" s="82"/>
      <c r="G61" s="82"/>
      <c r="H61" s="82"/>
      <c r="I61" s="83"/>
      <c r="J61" s="82"/>
      <c r="K61" s="82"/>
      <c r="L61" s="82"/>
      <c r="M61" s="83"/>
      <c r="N61" s="82"/>
      <c r="O61" s="82"/>
      <c r="P61" s="82"/>
      <c r="Q61" s="83"/>
      <c r="R61" s="82"/>
      <c r="S61" s="82"/>
      <c r="T61" s="82"/>
      <c r="U61" s="83"/>
      <c r="V61" s="82"/>
      <c r="W61" s="82"/>
      <c r="X61" s="82"/>
      <c r="Y61" s="83"/>
      <c r="Z61" s="82"/>
      <c r="AA61" s="82"/>
      <c r="AB61" s="82"/>
      <c r="AC61" s="83"/>
      <c r="AD61" s="82"/>
      <c r="AE61" s="82"/>
      <c r="AF61" s="82"/>
      <c r="AG61" s="83"/>
      <c r="AH61" s="82"/>
      <c r="AI61" s="82"/>
      <c r="AJ61" s="82"/>
      <c r="AK61" s="83"/>
      <c r="AL61" s="82"/>
      <c r="AM61" s="82"/>
      <c r="AN61" s="82"/>
      <c r="AO61" s="82"/>
      <c r="AP61" s="84" t="str">
        <f t="shared" si="2"/>
        <v/>
      </c>
      <c r="AQ61" s="9"/>
      <c r="AR61" s="9"/>
      <c r="AS61" s="8"/>
      <c r="AT61" s="9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8"/>
      <c r="BX61" s="9"/>
      <c r="BY61" s="9"/>
      <c r="BZ61" s="9"/>
      <c r="CA61" s="33"/>
      <c r="CB61" s="85" t="str">
        <f t="shared" si="3"/>
        <v/>
      </c>
      <c r="CC61" s="86" t="str">
        <f t="shared" si="4"/>
        <v/>
      </c>
      <c r="CD61" s="86" t="str">
        <f t="shared" si="5"/>
        <v/>
      </c>
      <c r="CE61" s="86" t="str">
        <f t="shared" si="6"/>
        <v/>
      </c>
      <c r="CF61" s="86" t="str">
        <f t="shared" si="7"/>
        <v/>
      </c>
      <c r="CG61" s="86" t="str">
        <f t="shared" si="8"/>
        <v/>
      </c>
      <c r="CH61" s="86" t="str">
        <f t="shared" si="9"/>
        <v/>
      </c>
      <c r="CI61" s="86" t="str">
        <f t="shared" si="10"/>
        <v/>
      </c>
      <c r="CJ61" s="86" t="str">
        <f t="shared" si="11"/>
        <v/>
      </c>
      <c r="CK61" s="86" t="str">
        <f t="shared" si="12"/>
        <v/>
      </c>
      <c r="CL61" s="86" t="str">
        <f t="shared" si="13"/>
        <v/>
      </c>
      <c r="CM61" s="87" t="str">
        <f t="shared" si="14"/>
        <v/>
      </c>
      <c r="CN61" s="88" t="str">
        <f t="shared" si="26"/>
        <v/>
      </c>
      <c r="CO61" s="88" t="str">
        <f t="shared" si="15"/>
        <v/>
      </c>
      <c r="CP61" s="88" t="str">
        <f t="shared" si="16"/>
        <v/>
      </c>
      <c r="CQ61" s="88" t="str">
        <f t="shared" si="17"/>
        <v/>
      </c>
      <c r="CR61" s="88" t="str">
        <f t="shared" si="18"/>
        <v/>
      </c>
      <c r="CS61" s="88" t="str">
        <f t="shared" si="19"/>
        <v/>
      </c>
      <c r="CT61" s="88" t="str">
        <f t="shared" si="20"/>
        <v/>
      </c>
      <c r="CU61" s="88" t="str">
        <f t="shared" si="21"/>
        <v/>
      </c>
      <c r="CV61" s="88" t="str">
        <f t="shared" si="22"/>
        <v/>
      </c>
      <c r="CW61" s="88" t="str">
        <f t="shared" si="23"/>
        <v/>
      </c>
      <c r="CX61" s="7"/>
      <c r="CY61" s="7"/>
      <c r="CZ61" s="7"/>
      <c r="DA61" s="8"/>
      <c r="DU61" s="104" t="str">
        <f t="shared" si="24"/>
        <v/>
      </c>
      <c r="DV61" s="93" t="str">
        <f>ABA!$A61</f>
        <v/>
      </c>
      <c r="DW61" s="82" t="str">
        <f t="shared" si="25"/>
        <v/>
      </c>
    </row>
    <row r="62" ht="15.75" customHeight="1">
      <c r="A62" s="85"/>
      <c r="B62" s="107"/>
      <c r="C62" s="98"/>
      <c r="D62" s="98"/>
      <c r="E62" s="99"/>
      <c r="F62" s="98"/>
      <c r="G62" s="98"/>
      <c r="H62" s="98"/>
      <c r="I62" s="99"/>
      <c r="J62" s="98"/>
      <c r="K62" s="98"/>
      <c r="L62" s="98"/>
      <c r="M62" s="99"/>
      <c r="N62" s="98"/>
      <c r="O62" s="98"/>
      <c r="P62" s="98"/>
      <c r="Q62" s="99"/>
      <c r="R62" s="98"/>
      <c r="S62" s="98"/>
      <c r="T62" s="98"/>
      <c r="U62" s="99"/>
      <c r="V62" s="98"/>
      <c r="W62" s="98"/>
      <c r="X62" s="98"/>
      <c r="Y62" s="100"/>
      <c r="Z62" s="98"/>
      <c r="AA62" s="98"/>
      <c r="AB62" s="98"/>
      <c r="AC62" s="99"/>
      <c r="AD62" s="98"/>
      <c r="AE62" s="98"/>
      <c r="AF62" s="98"/>
      <c r="AG62" s="99"/>
      <c r="AH62" s="98"/>
      <c r="AI62" s="98"/>
      <c r="AJ62" s="98"/>
      <c r="AK62" s="99"/>
      <c r="AL62" s="98"/>
      <c r="AM62" s="98"/>
      <c r="AN62" s="98"/>
      <c r="AO62" s="98"/>
      <c r="AP62" s="84" t="str">
        <f t="shared" si="2"/>
        <v/>
      </c>
      <c r="AQ62" s="9"/>
      <c r="AR62" s="9"/>
      <c r="AS62" s="8"/>
      <c r="AT62" s="9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8"/>
      <c r="BX62" s="9"/>
      <c r="BY62" s="9"/>
      <c r="BZ62" s="9"/>
      <c r="CA62" s="33"/>
      <c r="CB62" s="85" t="str">
        <f t="shared" si="3"/>
        <v/>
      </c>
      <c r="CC62" s="86" t="str">
        <f t="shared" si="4"/>
        <v/>
      </c>
      <c r="CD62" s="86" t="str">
        <f t="shared" si="5"/>
        <v/>
      </c>
      <c r="CE62" s="86" t="str">
        <f t="shared" si="6"/>
        <v/>
      </c>
      <c r="CF62" s="86" t="str">
        <f t="shared" si="7"/>
        <v/>
      </c>
      <c r="CG62" s="86" t="str">
        <f t="shared" si="8"/>
        <v/>
      </c>
      <c r="CH62" s="86" t="str">
        <f t="shared" si="9"/>
        <v/>
      </c>
      <c r="CI62" s="86" t="str">
        <f t="shared" si="10"/>
        <v/>
      </c>
      <c r="CJ62" s="86" t="str">
        <f t="shared" si="11"/>
        <v/>
      </c>
      <c r="CK62" s="86" t="str">
        <f t="shared" si="12"/>
        <v/>
      </c>
      <c r="CL62" s="86" t="str">
        <f t="shared" si="13"/>
        <v/>
      </c>
      <c r="CM62" s="87" t="str">
        <f t="shared" si="14"/>
        <v/>
      </c>
      <c r="CN62" s="88" t="str">
        <f t="shared" si="26"/>
        <v/>
      </c>
      <c r="CO62" s="88" t="str">
        <f t="shared" si="15"/>
        <v/>
      </c>
      <c r="CP62" s="88" t="str">
        <f t="shared" si="16"/>
        <v/>
      </c>
      <c r="CQ62" s="88" t="str">
        <f t="shared" si="17"/>
        <v/>
      </c>
      <c r="CR62" s="88" t="str">
        <f t="shared" si="18"/>
        <v/>
      </c>
      <c r="CS62" s="88" t="str">
        <f t="shared" si="19"/>
        <v/>
      </c>
      <c r="CT62" s="88" t="str">
        <f t="shared" si="20"/>
        <v/>
      </c>
      <c r="CU62" s="88" t="str">
        <f t="shared" si="21"/>
        <v/>
      </c>
      <c r="CV62" s="88" t="str">
        <f t="shared" si="22"/>
        <v/>
      </c>
      <c r="CW62" s="88" t="str">
        <f t="shared" si="23"/>
        <v/>
      </c>
      <c r="CX62" s="7"/>
      <c r="CY62" s="7"/>
      <c r="CZ62" s="7"/>
      <c r="DA62" s="8"/>
      <c r="DU62" s="93" t="str">
        <f t="shared" si="24"/>
        <v/>
      </c>
      <c r="DV62" s="104" t="str">
        <f>ABA!$A62</f>
        <v/>
      </c>
      <c r="DW62" s="98" t="str">
        <f t="shared" si="25"/>
        <v/>
      </c>
    </row>
    <row r="63" ht="15.75" customHeight="1">
      <c r="A63" s="78"/>
      <c r="B63" s="105"/>
      <c r="C63" s="82"/>
      <c r="D63" s="82"/>
      <c r="E63" s="83"/>
      <c r="F63" s="82"/>
      <c r="G63" s="82"/>
      <c r="H63" s="82"/>
      <c r="I63" s="83"/>
      <c r="J63" s="82"/>
      <c r="K63" s="82"/>
      <c r="L63" s="82"/>
      <c r="M63" s="83"/>
      <c r="N63" s="82"/>
      <c r="O63" s="82"/>
      <c r="P63" s="82"/>
      <c r="Q63" s="83"/>
      <c r="R63" s="82"/>
      <c r="S63" s="82"/>
      <c r="T63" s="82"/>
      <c r="U63" s="83"/>
      <c r="V63" s="82"/>
      <c r="W63" s="82"/>
      <c r="X63" s="82"/>
      <c r="Y63" s="83"/>
      <c r="Z63" s="82"/>
      <c r="AA63" s="82"/>
      <c r="AB63" s="82"/>
      <c r="AC63" s="83"/>
      <c r="AD63" s="82"/>
      <c r="AE63" s="82"/>
      <c r="AF63" s="82"/>
      <c r="AG63" s="83"/>
      <c r="AH63" s="82"/>
      <c r="AI63" s="82"/>
      <c r="AJ63" s="82"/>
      <c r="AK63" s="83"/>
      <c r="AL63" s="82"/>
      <c r="AM63" s="82"/>
      <c r="AN63" s="82"/>
      <c r="AO63" s="82"/>
      <c r="AP63" s="84" t="str">
        <f t="shared" si="2"/>
        <v/>
      </c>
      <c r="AQ63" s="9"/>
      <c r="AR63" s="9"/>
      <c r="AS63" s="8"/>
      <c r="AT63" s="9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8"/>
      <c r="BX63" s="9"/>
      <c r="BY63" s="9"/>
      <c r="BZ63" s="9"/>
      <c r="CA63" s="33"/>
      <c r="CB63" s="85" t="str">
        <f t="shared" si="3"/>
        <v/>
      </c>
      <c r="CC63" s="86" t="str">
        <f t="shared" si="4"/>
        <v/>
      </c>
      <c r="CD63" s="86" t="str">
        <f t="shared" si="5"/>
        <v/>
      </c>
      <c r="CE63" s="86" t="str">
        <f t="shared" si="6"/>
        <v/>
      </c>
      <c r="CF63" s="86" t="str">
        <f t="shared" si="7"/>
        <v/>
      </c>
      <c r="CG63" s="86" t="str">
        <f t="shared" si="8"/>
        <v/>
      </c>
      <c r="CH63" s="86" t="str">
        <f t="shared" si="9"/>
        <v/>
      </c>
      <c r="CI63" s="86" t="str">
        <f t="shared" si="10"/>
        <v/>
      </c>
      <c r="CJ63" s="86" t="str">
        <f t="shared" si="11"/>
        <v/>
      </c>
      <c r="CK63" s="86" t="str">
        <f t="shared" si="12"/>
        <v/>
      </c>
      <c r="CL63" s="86" t="str">
        <f t="shared" si="13"/>
        <v/>
      </c>
      <c r="CM63" s="87" t="str">
        <f t="shared" si="14"/>
        <v/>
      </c>
      <c r="CN63" s="88" t="str">
        <f t="shared" si="26"/>
        <v/>
      </c>
      <c r="CO63" s="88" t="str">
        <f t="shared" si="15"/>
        <v/>
      </c>
      <c r="CP63" s="88" t="str">
        <f t="shared" si="16"/>
        <v/>
      </c>
      <c r="CQ63" s="88" t="str">
        <f t="shared" si="17"/>
        <v/>
      </c>
      <c r="CR63" s="88" t="str">
        <f t="shared" si="18"/>
        <v/>
      </c>
      <c r="CS63" s="88" t="str">
        <f t="shared" si="19"/>
        <v/>
      </c>
      <c r="CT63" s="88" t="str">
        <f t="shared" si="20"/>
        <v/>
      </c>
      <c r="CU63" s="88" t="str">
        <f t="shared" si="21"/>
        <v/>
      </c>
      <c r="CV63" s="88" t="str">
        <f t="shared" si="22"/>
        <v/>
      </c>
      <c r="CW63" s="88" t="str">
        <f t="shared" si="23"/>
        <v/>
      </c>
      <c r="CX63" s="7"/>
      <c r="CY63" s="7"/>
      <c r="CZ63" s="7"/>
      <c r="DA63" s="8"/>
      <c r="DU63" s="104" t="str">
        <f t="shared" si="24"/>
        <v/>
      </c>
      <c r="DV63" s="93" t="str">
        <f>ABA!$A63</f>
        <v/>
      </c>
      <c r="DW63" s="82" t="str">
        <f t="shared" si="25"/>
        <v/>
      </c>
    </row>
    <row r="64" ht="15.75" customHeight="1">
      <c r="A64" s="85"/>
      <c r="B64" s="107"/>
      <c r="C64" s="98"/>
      <c r="D64" s="98"/>
      <c r="E64" s="99"/>
      <c r="F64" s="98"/>
      <c r="G64" s="98"/>
      <c r="H64" s="98"/>
      <c r="I64" s="99"/>
      <c r="J64" s="98"/>
      <c r="K64" s="98"/>
      <c r="L64" s="98"/>
      <c r="M64" s="99"/>
      <c r="N64" s="98"/>
      <c r="O64" s="98"/>
      <c r="P64" s="98"/>
      <c r="Q64" s="99"/>
      <c r="R64" s="98"/>
      <c r="S64" s="98"/>
      <c r="T64" s="98"/>
      <c r="U64" s="99"/>
      <c r="V64" s="98"/>
      <c r="W64" s="98"/>
      <c r="X64" s="98"/>
      <c r="Y64" s="100"/>
      <c r="Z64" s="98"/>
      <c r="AA64" s="98"/>
      <c r="AB64" s="98"/>
      <c r="AC64" s="99"/>
      <c r="AD64" s="98"/>
      <c r="AE64" s="98"/>
      <c r="AF64" s="98"/>
      <c r="AG64" s="99"/>
      <c r="AH64" s="98"/>
      <c r="AI64" s="98"/>
      <c r="AJ64" s="98"/>
      <c r="AK64" s="99"/>
      <c r="AL64" s="98"/>
      <c r="AM64" s="98"/>
      <c r="AN64" s="98"/>
      <c r="AO64" s="98"/>
      <c r="AP64" s="84" t="str">
        <f t="shared" si="2"/>
        <v/>
      </c>
      <c r="AQ64" s="9"/>
      <c r="AR64" s="9"/>
      <c r="AS64" s="8"/>
      <c r="AT64" s="9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8"/>
      <c r="BX64" s="9"/>
      <c r="BY64" s="9"/>
      <c r="BZ64" s="9"/>
      <c r="CA64" s="33"/>
      <c r="CB64" s="85" t="str">
        <f t="shared" si="3"/>
        <v/>
      </c>
      <c r="CC64" s="86" t="str">
        <f t="shared" si="4"/>
        <v/>
      </c>
      <c r="CD64" s="86" t="str">
        <f t="shared" si="5"/>
        <v/>
      </c>
      <c r="CE64" s="86" t="str">
        <f t="shared" si="6"/>
        <v/>
      </c>
      <c r="CF64" s="86" t="str">
        <f t="shared" si="7"/>
        <v/>
      </c>
      <c r="CG64" s="86" t="str">
        <f t="shared" si="8"/>
        <v/>
      </c>
      <c r="CH64" s="86" t="str">
        <f t="shared" si="9"/>
        <v/>
      </c>
      <c r="CI64" s="86" t="str">
        <f t="shared" si="10"/>
        <v/>
      </c>
      <c r="CJ64" s="86" t="str">
        <f t="shared" si="11"/>
        <v/>
      </c>
      <c r="CK64" s="86" t="str">
        <f t="shared" si="12"/>
        <v/>
      </c>
      <c r="CL64" s="86" t="str">
        <f t="shared" si="13"/>
        <v/>
      </c>
      <c r="CM64" s="87" t="str">
        <f t="shared" si="14"/>
        <v/>
      </c>
      <c r="CN64" s="88" t="str">
        <f t="shared" si="26"/>
        <v/>
      </c>
      <c r="CO64" s="88" t="str">
        <f t="shared" si="15"/>
        <v/>
      </c>
      <c r="CP64" s="88" t="str">
        <f t="shared" si="16"/>
        <v/>
      </c>
      <c r="CQ64" s="88" t="str">
        <f t="shared" si="17"/>
        <v/>
      </c>
      <c r="CR64" s="88" t="str">
        <f t="shared" si="18"/>
        <v/>
      </c>
      <c r="CS64" s="88" t="str">
        <f t="shared" si="19"/>
        <v/>
      </c>
      <c r="CT64" s="88" t="str">
        <f t="shared" si="20"/>
        <v/>
      </c>
      <c r="CU64" s="88" t="str">
        <f t="shared" si="21"/>
        <v/>
      </c>
      <c r="CV64" s="88" t="str">
        <f t="shared" si="22"/>
        <v/>
      </c>
      <c r="CW64" s="88" t="str">
        <f t="shared" si="23"/>
        <v/>
      </c>
      <c r="CX64" s="7"/>
      <c r="CY64" s="7"/>
      <c r="CZ64" s="7"/>
      <c r="DA64" s="8"/>
      <c r="DU64" s="93" t="str">
        <f t="shared" si="24"/>
        <v/>
      </c>
      <c r="DV64" s="104" t="str">
        <f>ABA!$A64</f>
        <v/>
      </c>
      <c r="DW64" s="98" t="str">
        <f t="shared" si="25"/>
        <v/>
      </c>
    </row>
    <row r="65" ht="15.75" customHeight="1">
      <c r="A65" s="78"/>
      <c r="B65" s="105"/>
      <c r="C65" s="82"/>
      <c r="D65" s="82"/>
      <c r="E65" s="83"/>
      <c r="F65" s="82"/>
      <c r="G65" s="82"/>
      <c r="H65" s="82"/>
      <c r="I65" s="83"/>
      <c r="J65" s="82"/>
      <c r="K65" s="82"/>
      <c r="L65" s="82"/>
      <c r="M65" s="83"/>
      <c r="N65" s="82"/>
      <c r="O65" s="82"/>
      <c r="P65" s="82"/>
      <c r="Q65" s="83"/>
      <c r="R65" s="82"/>
      <c r="S65" s="82"/>
      <c r="T65" s="82"/>
      <c r="U65" s="83"/>
      <c r="V65" s="82"/>
      <c r="W65" s="82"/>
      <c r="X65" s="82"/>
      <c r="Y65" s="83"/>
      <c r="Z65" s="82"/>
      <c r="AA65" s="82"/>
      <c r="AB65" s="82"/>
      <c r="AC65" s="83"/>
      <c r="AD65" s="82"/>
      <c r="AE65" s="82"/>
      <c r="AF65" s="82"/>
      <c r="AG65" s="83"/>
      <c r="AH65" s="82"/>
      <c r="AI65" s="82"/>
      <c r="AJ65" s="82"/>
      <c r="AK65" s="83"/>
      <c r="AL65" s="82"/>
      <c r="AM65" s="82"/>
      <c r="AN65" s="82"/>
      <c r="AO65" s="82"/>
      <c r="AP65" s="84" t="str">
        <f t="shared" si="2"/>
        <v/>
      </c>
      <c r="AQ65" s="9"/>
      <c r="AR65" s="9"/>
      <c r="AS65" s="8"/>
      <c r="AT65" s="9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8"/>
      <c r="BX65" s="9"/>
      <c r="BY65" s="9"/>
      <c r="BZ65" s="9"/>
      <c r="CA65" s="33"/>
      <c r="CB65" s="85" t="str">
        <f t="shared" si="3"/>
        <v/>
      </c>
      <c r="CC65" s="86" t="str">
        <f t="shared" si="4"/>
        <v/>
      </c>
      <c r="CD65" s="86" t="str">
        <f t="shared" si="5"/>
        <v/>
      </c>
      <c r="CE65" s="86" t="str">
        <f t="shared" si="6"/>
        <v/>
      </c>
      <c r="CF65" s="86" t="str">
        <f t="shared" si="7"/>
        <v/>
      </c>
      <c r="CG65" s="86" t="str">
        <f t="shared" si="8"/>
        <v/>
      </c>
      <c r="CH65" s="86" t="str">
        <f t="shared" si="9"/>
        <v/>
      </c>
      <c r="CI65" s="86" t="str">
        <f t="shared" si="10"/>
        <v/>
      </c>
      <c r="CJ65" s="86" t="str">
        <f t="shared" si="11"/>
        <v/>
      </c>
      <c r="CK65" s="86" t="str">
        <f t="shared" si="12"/>
        <v/>
      </c>
      <c r="CL65" s="86" t="str">
        <f t="shared" si="13"/>
        <v/>
      </c>
      <c r="CM65" s="87" t="str">
        <f t="shared" si="14"/>
        <v/>
      </c>
      <c r="CN65" s="88" t="str">
        <f t="shared" si="26"/>
        <v/>
      </c>
      <c r="CO65" s="88" t="str">
        <f t="shared" si="15"/>
        <v/>
      </c>
      <c r="CP65" s="88" t="str">
        <f t="shared" si="16"/>
        <v/>
      </c>
      <c r="CQ65" s="88" t="str">
        <f t="shared" si="17"/>
        <v/>
      </c>
      <c r="CR65" s="88" t="str">
        <f t="shared" si="18"/>
        <v/>
      </c>
      <c r="CS65" s="88" t="str">
        <f t="shared" si="19"/>
        <v/>
      </c>
      <c r="CT65" s="88" t="str">
        <f t="shared" si="20"/>
        <v/>
      </c>
      <c r="CU65" s="88" t="str">
        <f t="shared" si="21"/>
        <v/>
      </c>
      <c r="CV65" s="88" t="str">
        <f t="shared" si="22"/>
        <v/>
      </c>
      <c r="CW65" s="88" t="str">
        <f t="shared" si="23"/>
        <v/>
      </c>
      <c r="CX65" s="7"/>
      <c r="CY65" s="7"/>
      <c r="CZ65" s="7"/>
      <c r="DA65" s="8"/>
      <c r="DU65" s="104" t="str">
        <f t="shared" si="24"/>
        <v/>
      </c>
      <c r="DV65" s="93" t="str">
        <f>ABA!$A65</f>
        <v/>
      </c>
      <c r="DW65" s="82" t="str">
        <f t="shared" si="25"/>
        <v/>
      </c>
    </row>
    <row r="66" ht="15.75" customHeight="1">
      <c r="A66" s="85"/>
      <c r="B66" s="107"/>
      <c r="C66" s="98"/>
      <c r="D66" s="98"/>
      <c r="E66" s="99"/>
      <c r="F66" s="98"/>
      <c r="G66" s="98"/>
      <c r="H66" s="98"/>
      <c r="I66" s="99"/>
      <c r="J66" s="98"/>
      <c r="K66" s="98"/>
      <c r="L66" s="98"/>
      <c r="M66" s="99"/>
      <c r="N66" s="98"/>
      <c r="O66" s="98"/>
      <c r="P66" s="98"/>
      <c r="Q66" s="99"/>
      <c r="R66" s="98"/>
      <c r="S66" s="98"/>
      <c r="T66" s="98"/>
      <c r="U66" s="99"/>
      <c r="V66" s="98"/>
      <c r="W66" s="98"/>
      <c r="X66" s="98"/>
      <c r="Y66" s="100"/>
      <c r="Z66" s="98"/>
      <c r="AA66" s="98"/>
      <c r="AB66" s="98"/>
      <c r="AC66" s="99"/>
      <c r="AD66" s="98"/>
      <c r="AE66" s="98"/>
      <c r="AF66" s="98"/>
      <c r="AG66" s="99"/>
      <c r="AH66" s="98"/>
      <c r="AI66" s="98"/>
      <c r="AJ66" s="98"/>
      <c r="AK66" s="99"/>
      <c r="AL66" s="98"/>
      <c r="AM66" s="98"/>
      <c r="AN66" s="98"/>
      <c r="AO66" s="98"/>
      <c r="AP66" s="84" t="str">
        <f t="shared" si="2"/>
        <v/>
      </c>
      <c r="AQ66" s="9"/>
      <c r="AR66" s="9"/>
      <c r="AS66" s="8"/>
      <c r="AT66" s="9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8"/>
      <c r="BX66" s="9"/>
      <c r="BY66" s="9"/>
      <c r="BZ66" s="9"/>
      <c r="CA66" s="33"/>
      <c r="CB66" s="85" t="str">
        <f t="shared" si="3"/>
        <v/>
      </c>
      <c r="CC66" s="86" t="str">
        <f t="shared" si="4"/>
        <v/>
      </c>
      <c r="CD66" s="86" t="str">
        <f t="shared" si="5"/>
        <v/>
      </c>
      <c r="CE66" s="86" t="str">
        <f t="shared" si="6"/>
        <v/>
      </c>
      <c r="CF66" s="86" t="str">
        <f t="shared" si="7"/>
        <v/>
      </c>
      <c r="CG66" s="86" t="str">
        <f t="shared" si="8"/>
        <v/>
      </c>
      <c r="CH66" s="86" t="str">
        <f t="shared" si="9"/>
        <v/>
      </c>
      <c r="CI66" s="86" t="str">
        <f t="shared" si="10"/>
        <v/>
      </c>
      <c r="CJ66" s="86" t="str">
        <f t="shared" si="11"/>
        <v/>
      </c>
      <c r="CK66" s="86" t="str">
        <f t="shared" si="12"/>
        <v/>
      </c>
      <c r="CL66" s="86" t="str">
        <f t="shared" si="13"/>
        <v/>
      </c>
      <c r="CM66" s="87" t="str">
        <f t="shared" si="14"/>
        <v/>
      </c>
      <c r="CN66" s="88" t="str">
        <f t="shared" si="26"/>
        <v/>
      </c>
      <c r="CO66" s="88" t="str">
        <f t="shared" si="15"/>
        <v/>
      </c>
      <c r="CP66" s="88" t="str">
        <f t="shared" si="16"/>
        <v/>
      </c>
      <c r="CQ66" s="88" t="str">
        <f t="shared" si="17"/>
        <v/>
      </c>
      <c r="CR66" s="88" t="str">
        <f t="shared" si="18"/>
        <v/>
      </c>
      <c r="CS66" s="88" t="str">
        <f t="shared" si="19"/>
        <v/>
      </c>
      <c r="CT66" s="88" t="str">
        <f t="shared" si="20"/>
        <v/>
      </c>
      <c r="CU66" s="88" t="str">
        <f t="shared" si="21"/>
        <v/>
      </c>
      <c r="CV66" s="88" t="str">
        <f t="shared" si="22"/>
        <v/>
      </c>
      <c r="CW66" s="88" t="str">
        <f t="shared" si="23"/>
        <v/>
      </c>
      <c r="CX66" s="7"/>
      <c r="CY66" s="7"/>
      <c r="CZ66" s="7"/>
      <c r="DA66" s="8"/>
      <c r="DU66" s="93" t="str">
        <f t="shared" si="24"/>
        <v/>
      </c>
      <c r="DV66" s="104" t="str">
        <f>ABA!$A66</f>
        <v/>
      </c>
      <c r="DW66" s="98" t="str">
        <f t="shared" si="25"/>
        <v/>
      </c>
    </row>
    <row r="67" ht="15.75" customHeight="1">
      <c r="A67" s="78"/>
      <c r="B67" s="105"/>
      <c r="C67" s="82"/>
      <c r="D67" s="82"/>
      <c r="E67" s="83"/>
      <c r="F67" s="82"/>
      <c r="G67" s="82"/>
      <c r="H67" s="82"/>
      <c r="I67" s="83"/>
      <c r="J67" s="82"/>
      <c r="K67" s="82"/>
      <c r="L67" s="82"/>
      <c r="M67" s="83"/>
      <c r="N67" s="82"/>
      <c r="O67" s="82"/>
      <c r="P67" s="82"/>
      <c r="Q67" s="83"/>
      <c r="R67" s="82"/>
      <c r="S67" s="82"/>
      <c r="T67" s="82"/>
      <c r="U67" s="83"/>
      <c r="V67" s="82"/>
      <c r="W67" s="82"/>
      <c r="X67" s="82"/>
      <c r="Y67" s="83"/>
      <c r="Z67" s="82"/>
      <c r="AA67" s="82"/>
      <c r="AB67" s="82"/>
      <c r="AC67" s="83"/>
      <c r="AD67" s="82"/>
      <c r="AE67" s="82"/>
      <c r="AF67" s="82"/>
      <c r="AG67" s="83"/>
      <c r="AH67" s="82"/>
      <c r="AI67" s="82"/>
      <c r="AJ67" s="82"/>
      <c r="AK67" s="83"/>
      <c r="AL67" s="82"/>
      <c r="AM67" s="82"/>
      <c r="AN67" s="82"/>
      <c r="AO67" s="82"/>
      <c r="AP67" s="84" t="str">
        <f t="shared" si="2"/>
        <v/>
      </c>
      <c r="AQ67" s="9"/>
      <c r="AR67" s="9"/>
      <c r="AS67" s="8"/>
      <c r="AT67" s="9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8"/>
      <c r="BX67" s="9"/>
      <c r="BY67" s="9"/>
      <c r="BZ67" s="9"/>
      <c r="CA67" s="33"/>
      <c r="CB67" s="85" t="str">
        <f t="shared" si="3"/>
        <v/>
      </c>
      <c r="CC67" s="86" t="str">
        <f t="shared" si="4"/>
        <v/>
      </c>
      <c r="CD67" s="86" t="str">
        <f t="shared" si="5"/>
        <v/>
      </c>
      <c r="CE67" s="86" t="str">
        <f t="shared" si="6"/>
        <v/>
      </c>
      <c r="CF67" s="86" t="str">
        <f t="shared" si="7"/>
        <v/>
      </c>
      <c r="CG67" s="86" t="str">
        <f t="shared" si="8"/>
        <v/>
      </c>
      <c r="CH67" s="86" t="str">
        <f t="shared" si="9"/>
        <v/>
      </c>
      <c r="CI67" s="86" t="str">
        <f t="shared" si="10"/>
        <v/>
      </c>
      <c r="CJ67" s="86" t="str">
        <f t="shared" si="11"/>
        <v/>
      </c>
      <c r="CK67" s="86" t="str">
        <f t="shared" si="12"/>
        <v/>
      </c>
      <c r="CL67" s="86" t="str">
        <f t="shared" si="13"/>
        <v/>
      </c>
      <c r="CM67" s="87" t="str">
        <f t="shared" si="14"/>
        <v/>
      </c>
      <c r="CN67" s="88" t="str">
        <f t="shared" si="26"/>
        <v/>
      </c>
      <c r="CO67" s="88" t="str">
        <f t="shared" si="15"/>
        <v/>
      </c>
      <c r="CP67" s="88" t="str">
        <f t="shared" si="16"/>
        <v/>
      </c>
      <c r="CQ67" s="88" t="str">
        <f t="shared" si="17"/>
        <v/>
      </c>
      <c r="CR67" s="88" t="str">
        <f t="shared" si="18"/>
        <v/>
      </c>
      <c r="CS67" s="88" t="str">
        <f t="shared" si="19"/>
        <v/>
      </c>
      <c r="CT67" s="88" t="str">
        <f t="shared" si="20"/>
        <v/>
      </c>
      <c r="CU67" s="88" t="str">
        <f t="shared" si="21"/>
        <v/>
      </c>
      <c r="CV67" s="88" t="str">
        <f t="shared" si="22"/>
        <v/>
      </c>
      <c r="CW67" s="88" t="str">
        <f t="shared" si="23"/>
        <v/>
      </c>
      <c r="CX67" s="7"/>
      <c r="CY67" s="7"/>
      <c r="CZ67" s="7"/>
      <c r="DA67" s="8"/>
      <c r="DU67" s="93" t="str">
        <f t="shared" si="24"/>
        <v/>
      </c>
      <c r="DV67" s="93" t="str">
        <f>ABA!$A67</f>
        <v/>
      </c>
      <c r="DW67" s="82" t="str">
        <f t="shared" si="25"/>
        <v/>
      </c>
    </row>
    <row r="68" ht="15.75" customHeight="1">
      <c r="A68" s="85"/>
      <c r="B68" s="107"/>
      <c r="C68" s="98"/>
      <c r="D68" s="98"/>
      <c r="E68" s="99"/>
      <c r="F68" s="98"/>
      <c r="G68" s="98"/>
      <c r="H68" s="98"/>
      <c r="I68" s="99"/>
      <c r="J68" s="98"/>
      <c r="K68" s="98"/>
      <c r="L68" s="98"/>
      <c r="M68" s="99"/>
      <c r="N68" s="98"/>
      <c r="O68" s="98"/>
      <c r="P68" s="98"/>
      <c r="Q68" s="99"/>
      <c r="R68" s="98"/>
      <c r="S68" s="98"/>
      <c r="T68" s="98"/>
      <c r="U68" s="99"/>
      <c r="V68" s="98"/>
      <c r="W68" s="98"/>
      <c r="X68" s="98"/>
      <c r="Y68" s="100"/>
      <c r="Z68" s="98"/>
      <c r="AA68" s="98"/>
      <c r="AB68" s="98"/>
      <c r="AC68" s="99"/>
      <c r="AD68" s="98"/>
      <c r="AE68" s="98"/>
      <c r="AF68" s="98"/>
      <c r="AG68" s="99"/>
      <c r="AH68" s="98"/>
      <c r="AI68" s="98"/>
      <c r="AJ68" s="98"/>
      <c r="AK68" s="99"/>
      <c r="AL68" s="98"/>
      <c r="AM68" s="98"/>
      <c r="AN68" s="98"/>
      <c r="AO68" s="98"/>
      <c r="AP68" s="84" t="str">
        <f t="shared" si="2"/>
        <v/>
      </c>
      <c r="AQ68" s="9"/>
      <c r="AR68" s="9"/>
      <c r="AS68" s="8"/>
      <c r="AT68" s="9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8"/>
      <c r="BX68" s="9"/>
      <c r="BY68" s="9"/>
      <c r="BZ68" s="9"/>
      <c r="CA68" s="33"/>
      <c r="CB68" s="85" t="str">
        <f t="shared" si="3"/>
        <v/>
      </c>
      <c r="CC68" s="86" t="str">
        <f t="shared" si="4"/>
        <v/>
      </c>
      <c r="CD68" s="86" t="str">
        <f t="shared" si="5"/>
        <v/>
      </c>
      <c r="CE68" s="86" t="str">
        <f t="shared" si="6"/>
        <v/>
      </c>
      <c r="CF68" s="86" t="str">
        <f t="shared" si="7"/>
        <v/>
      </c>
      <c r="CG68" s="86" t="str">
        <f t="shared" si="8"/>
        <v/>
      </c>
      <c r="CH68" s="86" t="str">
        <f t="shared" si="9"/>
        <v/>
      </c>
      <c r="CI68" s="86" t="str">
        <f t="shared" si="10"/>
        <v/>
      </c>
      <c r="CJ68" s="86" t="str">
        <f t="shared" si="11"/>
        <v/>
      </c>
      <c r="CK68" s="86" t="str">
        <f t="shared" si="12"/>
        <v/>
      </c>
      <c r="CL68" s="86" t="str">
        <f t="shared" si="13"/>
        <v/>
      </c>
      <c r="CM68" s="87" t="str">
        <f t="shared" si="14"/>
        <v/>
      </c>
      <c r="CN68" s="88" t="str">
        <f t="shared" si="26"/>
        <v/>
      </c>
      <c r="CO68" s="88" t="str">
        <f t="shared" si="15"/>
        <v/>
      </c>
      <c r="CP68" s="88" t="str">
        <f t="shared" si="16"/>
        <v/>
      </c>
      <c r="CQ68" s="88" t="str">
        <f t="shared" si="17"/>
        <v/>
      </c>
      <c r="CR68" s="88" t="str">
        <f t="shared" si="18"/>
        <v/>
      </c>
      <c r="CS68" s="88" t="str">
        <f t="shared" si="19"/>
        <v/>
      </c>
      <c r="CT68" s="88" t="str">
        <f t="shared" si="20"/>
        <v/>
      </c>
      <c r="CU68" s="88" t="str">
        <f t="shared" si="21"/>
        <v/>
      </c>
      <c r="CV68" s="88" t="str">
        <f t="shared" si="22"/>
        <v/>
      </c>
      <c r="CW68" s="88" t="str">
        <f t="shared" si="23"/>
        <v/>
      </c>
      <c r="CX68" s="7"/>
      <c r="CY68" s="7"/>
      <c r="CZ68" s="7"/>
      <c r="DA68" s="8"/>
      <c r="DU68" s="104" t="str">
        <f t="shared" si="24"/>
        <v/>
      </c>
      <c r="DV68" s="104" t="str">
        <f>ABA!$A68</f>
        <v/>
      </c>
      <c r="DW68" s="98" t="str">
        <f t="shared" si="25"/>
        <v/>
      </c>
    </row>
    <row r="69" ht="15.75" customHeight="1">
      <c r="A69" s="78"/>
      <c r="B69" s="105"/>
      <c r="C69" s="82"/>
      <c r="D69" s="82"/>
      <c r="E69" s="83"/>
      <c r="F69" s="82"/>
      <c r="G69" s="82"/>
      <c r="H69" s="82"/>
      <c r="I69" s="83"/>
      <c r="J69" s="82"/>
      <c r="K69" s="82"/>
      <c r="L69" s="82"/>
      <c r="M69" s="83"/>
      <c r="N69" s="82"/>
      <c r="O69" s="82"/>
      <c r="P69" s="82"/>
      <c r="Q69" s="83"/>
      <c r="R69" s="82"/>
      <c r="S69" s="82"/>
      <c r="T69" s="82"/>
      <c r="U69" s="83"/>
      <c r="V69" s="82"/>
      <c r="W69" s="82"/>
      <c r="X69" s="82"/>
      <c r="Y69" s="83"/>
      <c r="Z69" s="82"/>
      <c r="AA69" s="82"/>
      <c r="AB69" s="82"/>
      <c r="AC69" s="83"/>
      <c r="AD69" s="82"/>
      <c r="AE69" s="82"/>
      <c r="AF69" s="82"/>
      <c r="AG69" s="83"/>
      <c r="AH69" s="82"/>
      <c r="AI69" s="82"/>
      <c r="AJ69" s="82"/>
      <c r="AK69" s="83"/>
      <c r="AL69" s="82"/>
      <c r="AM69" s="82"/>
      <c r="AN69" s="82"/>
      <c r="AO69" s="82"/>
      <c r="AP69" s="84" t="str">
        <f t="shared" si="2"/>
        <v/>
      </c>
      <c r="AQ69" s="9"/>
      <c r="AR69" s="9"/>
      <c r="AS69" s="8"/>
      <c r="AT69" s="9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8"/>
      <c r="BX69" s="9"/>
      <c r="BY69" s="9"/>
      <c r="BZ69" s="9"/>
      <c r="CA69" s="33"/>
      <c r="CB69" s="85" t="str">
        <f t="shared" si="3"/>
        <v/>
      </c>
      <c r="CC69" s="86" t="str">
        <f t="shared" si="4"/>
        <v/>
      </c>
      <c r="CD69" s="86" t="str">
        <f t="shared" si="5"/>
        <v/>
      </c>
      <c r="CE69" s="86" t="str">
        <f t="shared" si="6"/>
        <v/>
      </c>
      <c r="CF69" s="86" t="str">
        <f t="shared" si="7"/>
        <v/>
      </c>
      <c r="CG69" s="86" t="str">
        <f t="shared" si="8"/>
        <v/>
      </c>
      <c r="CH69" s="86" t="str">
        <f t="shared" si="9"/>
        <v/>
      </c>
      <c r="CI69" s="86" t="str">
        <f t="shared" si="10"/>
        <v/>
      </c>
      <c r="CJ69" s="86" t="str">
        <f t="shared" si="11"/>
        <v/>
      </c>
      <c r="CK69" s="86" t="str">
        <f t="shared" si="12"/>
        <v/>
      </c>
      <c r="CL69" s="86" t="str">
        <f t="shared" si="13"/>
        <v/>
      </c>
      <c r="CM69" s="87" t="str">
        <f t="shared" si="14"/>
        <v/>
      </c>
      <c r="CN69" s="88" t="str">
        <f t="shared" si="26"/>
        <v/>
      </c>
      <c r="CO69" s="88" t="str">
        <f t="shared" si="15"/>
        <v/>
      </c>
      <c r="CP69" s="88" t="str">
        <f t="shared" si="16"/>
        <v/>
      </c>
      <c r="CQ69" s="88" t="str">
        <f t="shared" si="17"/>
        <v/>
      </c>
      <c r="CR69" s="88" t="str">
        <f t="shared" si="18"/>
        <v/>
      </c>
      <c r="CS69" s="88" t="str">
        <f t="shared" si="19"/>
        <v/>
      </c>
      <c r="CT69" s="88" t="str">
        <f t="shared" si="20"/>
        <v/>
      </c>
      <c r="CU69" s="88" t="str">
        <f t="shared" si="21"/>
        <v/>
      </c>
      <c r="CV69" s="88" t="str">
        <f t="shared" si="22"/>
        <v/>
      </c>
      <c r="CW69" s="88" t="str">
        <f t="shared" si="23"/>
        <v/>
      </c>
      <c r="CX69" s="7"/>
      <c r="CY69" s="7"/>
      <c r="CZ69" s="7"/>
      <c r="DA69" s="8"/>
      <c r="DU69" s="93" t="str">
        <f t="shared" si="24"/>
        <v/>
      </c>
      <c r="DV69" s="93" t="str">
        <f>ABA!$A69</f>
        <v/>
      </c>
      <c r="DW69" s="82" t="str">
        <f t="shared" si="25"/>
        <v/>
      </c>
    </row>
    <row r="70" ht="15.75" customHeight="1">
      <c r="A70" s="85"/>
      <c r="B70" s="107"/>
      <c r="C70" s="98"/>
      <c r="D70" s="98"/>
      <c r="E70" s="99"/>
      <c r="F70" s="98"/>
      <c r="G70" s="98"/>
      <c r="H70" s="98"/>
      <c r="I70" s="99"/>
      <c r="J70" s="98"/>
      <c r="K70" s="98"/>
      <c r="L70" s="98"/>
      <c r="M70" s="99"/>
      <c r="N70" s="98"/>
      <c r="O70" s="98"/>
      <c r="P70" s="98"/>
      <c r="Q70" s="99"/>
      <c r="R70" s="98"/>
      <c r="S70" s="98"/>
      <c r="T70" s="98"/>
      <c r="U70" s="99"/>
      <c r="V70" s="98"/>
      <c r="W70" s="98"/>
      <c r="X70" s="98"/>
      <c r="Y70" s="100"/>
      <c r="Z70" s="98"/>
      <c r="AA70" s="98"/>
      <c r="AB70" s="98"/>
      <c r="AC70" s="99"/>
      <c r="AD70" s="98"/>
      <c r="AE70" s="98"/>
      <c r="AF70" s="98"/>
      <c r="AG70" s="99"/>
      <c r="AH70" s="98"/>
      <c r="AI70" s="98"/>
      <c r="AJ70" s="98"/>
      <c r="AK70" s="99"/>
      <c r="AL70" s="98"/>
      <c r="AM70" s="98"/>
      <c r="AN70" s="98"/>
      <c r="AO70" s="98"/>
      <c r="AP70" s="84" t="str">
        <f t="shared" si="2"/>
        <v/>
      </c>
      <c r="AQ70" s="9"/>
      <c r="AR70" s="9"/>
      <c r="AS70" s="8"/>
      <c r="AT70" s="9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8"/>
      <c r="BX70" s="9"/>
      <c r="BY70" s="9"/>
      <c r="BZ70" s="9"/>
      <c r="CA70" s="33"/>
      <c r="CB70" s="85" t="str">
        <f t="shared" si="3"/>
        <v/>
      </c>
      <c r="CC70" s="86" t="str">
        <f t="shared" si="4"/>
        <v/>
      </c>
      <c r="CD70" s="86" t="str">
        <f t="shared" si="5"/>
        <v/>
      </c>
      <c r="CE70" s="86" t="str">
        <f t="shared" si="6"/>
        <v/>
      </c>
      <c r="CF70" s="86" t="str">
        <f t="shared" si="7"/>
        <v/>
      </c>
      <c r="CG70" s="86" t="str">
        <f t="shared" si="8"/>
        <v/>
      </c>
      <c r="CH70" s="86" t="str">
        <f t="shared" si="9"/>
        <v/>
      </c>
      <c r="CI70" s="86" t="str">
        <f t="shared" si="10"/>
        <v/>
      </c>
      <c r="CJ70" s="86" t="str">
        <f t="shared" si="11"/>
        <v/>
      </c>
      <c r="CK70" s="86" t="str">
        <f t="shared" si="12"/>
        <v/>
      </c>
      <c r="CL70" s="86" t="str">
        <f t="shared" si="13"/>
        <v/>
      </c>
      <c r="CM70" s="87" t="str">
        <f t="shared" si="14"/>
        <v/>
      </c>
      <c r="CN70" s="88" t="str">
        <f t="shared" si="26"/>
        <v/>
      </c>
      <c r="CO70" s="88" t="str">
        <f t="shared" si="15"/>
        <v/>
      </c>
      <c r="CP70" s="88" t="str">
        <f t="shared" si="16"/>
        <v/>
      </c>
      <c r="CQ70" s="88" t="str">
        <f t="shared" si="17"/>
        <v/>
      </c>
      <c r="CR70" s="88" t="str">
        <f t="shared" si="18"/>
        <v/>
      </c>
      <c r="CS70" s="88" t="str">
        <f t="shared" si="19"/>
        <v/>
      </c>
      <c r="CT70" s="88" t="str">
        <f t="shared" si="20"/>
        <v/>
      </c>
      <c r="CU70" s="88" t="str">
        <f t="shared" si="21"/>
        <v/>
      </c>
      <c r="CV70" s="88" t="str">
        <f t="shared" si="22"/>
        <v/>
      </c>
      <c r="CW70" s="88" t="str">
        <f t="shared" si="23"/>
        <v/>
      </c>
      <c r="CX70" s="7"/>
      <c r="CY70" s="7"/>
      <c r="CZ70" s="7"/>
      <c r="DA70" s="8"/>
      <c r="DU70" s="104" t="str">
        <f t="shared" si="24"/>
        <v/>
      </c>
      <c r="DV70" s="104" t="str">
        <f>ABA!$A70</f>
        <v/>
      </c>
      <c r="DW70" s="98" t="str">
        <f t="shared" si="25"/>
        <v/>
      </c>
    </row>
    <row r="71" ht="15.75" customHeight="1">
      <c r="A71" s="78"/>
      <c r="B71" s="105"/>
      <c r="C71" s="82"/>
      <c r="D71" s="82"/>
      <c r="E71" s="83"/>
      <c r="F71" s="82"/>
      <c r="G71" s="82"/>
      <c r="H71" s="82"/>
      <c r="I71" s="83"/>
      <c r="J71" s="82"/>
      <c r="K71" s="82"/>
      <c r="L71" s="82"/>
      <c r="M71" s="83"/>
      <c r="N71" s="82"/>
      <c r="O71" s="82"/>
      <c r="P71" s="82"/>
      <c r="Q71" s="83"/>
      <c r="R71" s="82"/>
      <c r="S71" s="82"/>
      <c r="T71" s="82"/>
      <c r="U71" s="83"/>
      <c r="V71" s="82"/>
      <c r="W71" s="82"/>
      <c r="X71" s="82"/>
      <c r="Y71" s="83"/>
      <c r="Z71" s="82"/>
      <c r="AA71" s="82"/>
      <c r="AB71" s="82"/>
      <c r="AC71" s="83"/>
      <c r="AD71" s="82"/>
      <c r="AE71" s="82"/>
      <c r="AF71" s="82"/>
      <c r="AG71" s="83"/>
      <c r="AH71" s="82"/>
      <c r="AI71" s="82"/>
      <c r="AJ71" s="82"/>
      <c r="AK71" s="83"/>
      <c r="AL71" s="82"/>
      <c r="AM71" s="82"/>
      <c r="AN71" s="82"/>
      <c r="AO71" s="82"/>
      <c r="AP71" s="84" t="str">
        <f t="shared" si="2"/>
        <v/>
      </c>
      <c r="AQ71" s="9"/>
      <c r="AR71" s="9"/>
      <c r="AS71" s="8"/>
      <c r="AT71" s="9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8"/>
      <c r="BX71" s="9"/>
      <c r="BY71" s="9"/>
      <c r="BZ71" s="9"/>
      <c r="CA71" s="33"/>
      <c r="CB71" s="85" t="str">
        <f t="shared" si="3"/>
        <v/>
      </c>
      <c r="CC71" s="86" t="str">
        <f t="shared" si="4"/>
        <v/>
      </c>
      <c r="CD71" s="86" t="str">
        <f t="shared" si="5"/>
        <v/>
      </c>
      <c r="CE71" s="86" t="str">
        <f t="shared" si="6"/>
        <v/>
      </c>
      <c r="CF71" s="86" t="str">
        <f t="shared" si="7"/>
        <v/>
      </c>
      <c r="CG71" s="86" t="str">
        <f t="shared" si="8"/>
        <v/>
      </c>
      <c r="CH71" s="86" t="str">
        <f t="shared" si="9"/>
        <v/>
      </c>
      <c r="CI71" s="86" t="str">
        <f t="shared" si="10"/>
        <v/>
      </c>
      <c r="CJ71" s="86" t="str">
        <f t="shared" si="11"/>
        <v/>
      </c>
      <c r="CK71" s="86" t="str">
        <f t="shared" si="12"/>
        <v/>
      </c>
      <c r="CL71" s="86" t="str">
        <f t="shared" si="13"/>
        <v/>
      </c>
      <c r="CM71" s="87" t="str">
        <f t="shared" si="14"/>
        <v/>
      </c>
      <c r="CN71" s="88" t="str">
        <f t="shared" si="26"/>
        <v/>
      </c>
      <c r="CO71" s="88" t="str">
        <f t="shared" si="15"/>
        <v/>
      </c>
      <c r="CP71" s="88" t="str">
        <f t="shared" si="16"/>
        <v/>
      </c>
      <c r="CQ71" s="88" t="str">
        <f t="shared" si="17"/>
        <v/>
      </c>
      <c r="CR71" s="88" t="str">
        <f t="shared" si="18"/>
        <v/>
      </c>
      <c r="CS71" s="88" t="str">
        <f t="shared" si="19"/>
        <v/>
      </c>
      <c r="CT71" s="88" t="str">
        <f t="shared" si="20"/>
        <v/>
      </c>
      <c r="CU71" s="88" t="str">
        <f t="shared" si="21"/>
        <v/>
      </c>
      <c r="CV71" s="88" t="str">
        <f t="shared" si="22"/>
        <v/>
      </c>
      <c r="CW71" s="88" t="str">
        <f t="shared" si="23"/>
        <v/>
      </c>
      <c r="CX71" s="7"/>
      <c r="CY71" s="7"/>
      <c r="CZ71" s="7"/>
      <c r="DA71" s="8"/>
      <c r="DU71" s="93" t="str">
        <f t="shared" si="24"/>
        <v/>
      </c>
      <c r="DV71" s="93" t="str">
        <f>ABA!$A71</f>
        <v/>
      </c>
      <c r="DW71" s="82" t="str">
        <f t="shared" si="25"/>
        <v/>
      </c>
    </row>
    <row r="72" ht="15.75" customHeight="1">
      <c r="A72" s="85"/>
      <c r="B72" s="107"/>
      <c r="C72" s="98"/>
      <c r="D72" s="98"/>
      <c r="E72" s="99"/>
      <c r="F72" s="98"/>
      <c r="G72" s="98"/>
      <c r="H72" s="98"/>
      <c r="I72" s="99"/>
      <c r="J72" s="98"/>
      <c r="K72" s="98"/>
      <c r="L72" s="98"/>
      <c r="M72" s="99"/>
      <c r="N72" s="98"/>
      <c r="O72" s="98"/>
      <c r="P72" s="98"/>
      <c r="Q72" s="99"/>
      <c r="R72" s="98"/>
      <c r="S72" s="98"/>
      <c r="T72" s="98"/>
      <c r="U72" s="99"/>
      <c r="V72" s="98"/>
      <c r="W72" s="98"/>
      <c r="X72" s="98"/>
      <c r="Y72" s="100"/>
      <c r="Z72" s="98"/>
      <c r="AA72" s="98"/>
      <c r="AB72" s="98"/>
      <c r="AC72" s="99"/>
      <c r="AD72" s="98"/>
      <c r="AE72" s="98"/>
      <c r="AF72" s="98"/>
      <c r="AG72" s="99"/>
      <c r="AH72" s="98"/>
      <c r="AI72" s="98"/>
      <c r="AJ72" s="98"/>
      <c r="AK72" s="99"/>
      <c r="AL72" s="98"/>
      <c r="AM72" s="98"/>
      <c r="AN72" s="98"/>
      <c r="AO72" s="98"/>
      <c r="AP72" s="84" t="str">
        <f t="shared" si="2"/>
        <v/>
      </c>
      <c r="AQ72" s="9"/>
      <c r="AR72" s="9"/>
      <c r="AS72" s="8"/>
      <c r="AT72" s="9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8"/>
      <c r="BX72" s="9"/>
      <c r="BY72" s="9"/>
      <c r="BZ72" s="9"/>
      <c r="CA72" s="33"/>
      <c r="CB72" s="85" t="str">
        <f t="shared" si="3"/>
        <v/>
      </c>
      <c r="CC72" s="86" t="str">
        <f t="shared" si="4"/>
        <v/>
      </c>
      <c r="CD72" s="86" t="str">
        <f t="shared" si="5"/>
        <v/>
      </c>
      <c r="CE72" s="86" t="str">
        <f t="shared" si="6"/>
        <v/>
      </c>
      <c r="CF72" s="86" t="str">
        <f t="shared" si="7"/>
        <v/>
      </c>
      <c r="CG72" s="86" t="str">
        <f t="shared" si="8"/>
        <v/>
      </c>
      <c r="CH72" s="86" t="str">
        <f t="shared" si="9"/>
        <v/>
      </c>
      <c r="CI72" s="86" t="str">
        <f t="shared" si="10"/>
        <v/>
      </c>
      <c r="CJ72" s="86" t="str">
        <f t="shared" si="11"/>
        <v/>
      </c>
      <c r="CK72" s="86" t="str">
        <f t="shared" si="12"/>
        <v/>
      </c>
      <c r="CL72" s="86" t="str">
        <f t="shared" si="13"/>
        <v/>
      </c>
      <c r="CM72" s="87" t="str">
        <f t="shared" si="14"/>
        <v/>
      </c>
      <c r="CN72" s="88" t="str">
        <f t="shared" si="26"/>
        <v/>
      </c>
      <c r="CO72" s="88" t="str">
        <f t="shared" si="15"/>
        <v/>
      </c>
      <c r="CP72" s="88" t="str">
        <f t="shared" si="16"/>
        <v/>
      </c>
      <c r="CQ72" s="88" t="str">
        <f t="shared" si="17"/>
        <v/>
      </c>
      <c r="CR72" s="88" t="str">
        <f t="shared" si="18"/>
        <v/>
      </c>
      <c r="CS72" s="88" t="str">
        <f t="shared" si="19"/>
        <v/>
      </c>
      <c r="CT72" s="88" t="str">
        <f t="shared" si="20"/>
        <v/>
      </c>
      <c r="CU72" s="88" t="str">
        <f t="shared" si="21"/>
        <v/>
      </c>
      <c r="CV72" s="88" t="str">
        <f t="shared" si="22"/>
        <v/>
      </c>
      <c r="CW72" s="88" t="str">
        <f t="shared" si="23"/>
        <v/>
      </c>
      <c r="CX72" s="7"/>
      <c r="CY72" s="7"/>
      <c r="CZ72" s="7"/>
      <c r="DA72" s="8"/>
      <c r="DU72" s="104" t="str">
        <f t="shared" si="24"/>
        <v/>
      </c>
      <c r="DV72" s="104" t="str">
        <f>ABA!$A72</f>
        <v/>
      </c>
      <c r="DW72" s="98" t="str">
        <f t="shared" si="25"/>
        <v/>
      </c>
    </row>
    <row r="73" ht="15.75" customHeight="1">
      <c r="A73" s="78"/>
      <c r="B73" s="105"/>
      <c r="C73" s="82"/>
      <c r="D73" s="82"/>
      <c r="E73" s="83"/>
      <c r="F73" s="82"/>
      <c r="G73" s="82"/>
      <c r="H73" s="82"/>
      <c r="I73" s="83"/>
      <c r="J73" s="82"/>
      <c r="K73" s="82"/>
      <c r="L73" s="82"/>
      <c r="M73" s="83"/>
      <c r="N73" s="82"/>
      <c r="O73" s="82"/>
      <c r="P73" s="82"/>
      <c r="Q73" s="83"/>
      <c r="R73" s="82"/>
      <c r="S73" s="82"/>
      <c r="T73" s="82"/>
      <c r="U73" s="83"/>
      <c r="V73" s="82"/>
      <c r="W73" s="82"/>
      <c r="X73" s="82"/>
      <c r="Y73" s="83"/>
      <c r="Z73" s="82"/>
      <c r="AA73" s="82"/>
      <c r="AB73" s="82"/>
      <c r="AC73" s="83"/>
      <c r="AD73" s="82"/>
      <c r="AE73" s="82"/>
      <c r="AF73" s="82"/>
      <c r="AG73" s="83"/>
      <c r="AH73" s="82"/>
      <c r="AI73" s="82"/>
      <c r="AJ73" s="82"/>
      <c r="AK73" s="83"/>
      <c r="AL73" s="82"/>
      <c r="AM73" s="82"/>
      <c r="AN73" s="82"/>
      <c r="AO73" s="82"/>
      <c r="AP73" s="84" t="str">
        <f t="shared" si="2"/>
        <v/>
      </c>
      <c r="AQ73" s="9"/>
      <c r="AR73" s="9"/>
      <c r="AS73" s="8"/>
      <c r="AT73" s="9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8"/>
      <c r="BX73" s="9"/>
      <c r="BY73" s="9"/>
      <c r="BZ73" s="9"/>
      <c r="CA73" s="33"/>
      <c r="CB73" s="85" t="str">
        <f t="shared" si="3"/>
        <v/>
      </c>
      <c r="CC73" s="86" t="str">
        <f t="shared" si="4"/>
        <v/>
      </c>
      <c r="CD73" s="86" t="str">
        <f t="shared" si="5"/>
        <v/>
      </c>
      <c r="CE73" s="86" t="str">
        <f t="shared" si="6"/>
        <v/>
      </c>
      <c r="CF73" s="86" t="str">
        <f t="shared" si="7"/>
        <v/>
      </c>
      <c r="CG73" s="86" t="str">
        <f t="shared" si="8"/>
        <v/>
      </c>
      <c r="CH73" s="86" t="str">
        <f t="shared" si="9"/>
        <v/>
      </c>
      <c r="CI73" s="86" t="str">
        <f t="shared" si="10"/>
        <v/>
      </c>
      <c r="CJ73" s="86" t="str">
        <f t="shared" si="11"/>
        <v/>
      </c>
      <c r="CK73" s="86" t="str">
        <f t="shared" si="12"/>
        <v/>
      </c>
      <c r="CL73" s="86" t="str">
        <f t="shared" si="13"/>
        <v/>
      </c>
      <c r="CM73" s="87" t="str">
        <f t="shared" si="14"/>
        <v/>
      </c>
      <c r="CN73" s="88" t="str">
        <f t="shared" si="26"/>
        <v/>
      </c>
      <c r="CO73" s="88" t="str">
        <f t="shared" si="15"/>
        <v/>
      </c>
      <c r="CP73" s="88" t="str">
        <f t="shared" si="16"/>
        <v/>
      </c>
      <c r="CQ73" s="88" t="str">
        <f t="shared" si="17"/>
        <v/>
      </c>
      <c r="CR73" s="88" t="str">
        <f t="shared" si="18"/>
        <v/>
      </c>
      <c r="CS73" s="88" t="str">
        <f t="shared" si="19"/>
        <v/>
      </c>
      <c r="CT73" s="88" t="str">
        <f t="shared" si="20"/>
        <v/>
      </c>
      <c r="CU73" s="88" t="str">
        <f t="shared" si="21"/>
        <v/>
      </c>
      <c r="CV73" s="88" t="str">
        <f t="shared" si="22"/>
        <v/>
      </c>
      <c r="CW73" s="88" t="str">
        <f t="shared" si="23"/>
        <v/>
      </c>
      <c r="CX73" s="7"/>
      <c r="CY73" s="7"/>
      <c r="CZ73" s="7"/>
      <c r="DA73" s="8"/>
      <c r="DU73" s="93" t="str">
        <f t="shared" si="24"/>
        <v/>
      </c>
      <c r="DV73" s="93" t="str">
        <f>ABA!$A73</f>
        <v/>
      </c>
      <c r="DW73" s="82" t="str">
        <f t="shared" si="25"/>
        <v/>
      </c>
    </row>
    <row r="74" ht="15.75" customHeight="1">
      <c r="A74" s="85"/>
      <c r="B74" s="107"/>
      <c r="C74" s="98"/>
      <c r="D74" s="98"/>
      <c r="E74" s="99"/>
      <c r="F74" s="98"/>
      <c r="G74" s="98"/>
      <c r="H74" s="98"/>
      <c r="I74" s="99"/>
      <c r="J74" s="98"/>
      <c r="K74" s="98"/>
      <c r="L74" s="98"/>
      <c r="M74" s="99"/>
      <c r="N74" s="98"/>
      <c r="O74" s="98"/>
      <c r="P74" s="98"/>
      <c r="Q74" s="99"/>
      <c r="R74" s="98"/>
      <c r="S74" s="98"/>
      <c r="T74" s="98"/>
      <c r="U74" s="99"/>
      <c r="V74" s="98"/>
      <c r="W74" s="98"/>
      <c r="X74" s="98"/>
      <c r="Y74" s="100"/>
      <c r="Z74" s="98"/>
      <c r="AA74" s="98"/>
      <c r="AB74" s="98"/>
      <c r="AC74" s="99"/>
      <c r="AD74" s="98"/>
      <c r="AE74" s="98"/>
      <c r="AF74" s="98"/>
      <c r="AG74" s="99"/>
      <c r="AH74" s="98"/>
      <c r="AI74" s="98"/>
      <c r="AJ74" s="98"/>
      <c r="AK74" s="99"/>
      <c r="AL74" s="98"/>
      <c r="AM74" s="98"/>
      <c r="AN74" s="98"/>
      <c r="AO74" s="98"/>
      <c r="AP74" s="84" t="str">
        <f t="shared" si="2"/>
        <v/>
      </c>
      <c r="AQ74" s="9"/>
      <c r="AR74" s="9"/>
      <c r="AS74" s="8"/>
      <c r="AT74" s="9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8"/>
      <c r="BX74" s="9"/>
      <c r="BY74" s="9"/>
      <c r="BZ74" s="9"/>
      <c r="CA74" s="33"/>
      <c r="CB74" s="85" t="str">
        <f t="shared" si="3"/>
        <v/>
      </c>
      <c r="CC74" s="86" t="str">
        <f t="shared" si="4"/>
        <v/>
      </c>
      <c r="CD74" s="86" t="str">
        <f t="shared" si="5"/>
        <v/>
      </c>
      <c r="CE74" s="86" t="str">
        <f t="shared" si="6"/>
        <v/>
      </c>
      <c r="CF74" s="86" t="str">
        <f t="shared" si="7"/>
        <v/>
      </c>
      <c r="CG74" s="86" t="str">
        <f t="shared" si="8"/>
        <v/>
      </c>
      <c r="CH74" s="86" t="str">
        <f t="shared" si="9"/>
        <v/>
      </c>
      <c r="CI74" s="86" t="str">
        <f t="shared" si="10"/>
        <v/>
      </c>
      <c r="CJ74" s="86" t="str">
        <f t="shared" si="11"/>
        <v/>
      </c>
      <c r="CK74" s="86" t="str">
        <f t="shared" si="12"/>
        <v/>
      </c>
      <c r="CL74" s="86" t="str">
        <f t="shared" si="13"/>
        <v/>
      </c>
      <c r="CM74" s="87" t="str">
        <f t="shared" si="14"/>
        <v/>
      </c>
      <c r="CN74" s="88" t="str">
        <f t="shared" si="26"/>
        <v/>
      </c>
      <c r="CO74" s="88" t="str">
        <f t="shared" si="15"/>
        <v/>
      </c>
      <c r="CP74" s="88" t="str">
        <f t="shared" si="16"/>
        <v/>
      </c>
      <c r="CQ74" s="88" t="str">
        <f t="shared" si="17"/>
        <v/>
      </c>
      <c r="CR74" s="88" t="str">
        <f t="shared" si="18"/>
        <v/>
      </c>
      <c r="CS74" s="88" t="str">
        <f t="shared" si="19"/>
        <v/>
      </c>
      <c r="CT74" s="88" t="str">
        <f t="shared" si="20"/>
        <v/>
      </c>
      <c r="CU74" s="88" t="str">
        <f t="shared" si="21"/>
        <v/>
      </c>
      <c r="CV74" s="88" t="str">
        <f t="shared" si="22"/>
        <v/>
      </c>
      <c r="CW74" s="88" t="str">
        <f t="shared" si="23"/>
        <v/>
      </c>
      <c r="CX74" s="7"/>
      <c r="CY74" s="7"/>
      <c r="CZ74" s="7"/>
      <c r="DA74" s="8"/>
      <c r="DU74" s="104" t="str">
        <f t="shared" si="24"/>
        <v/>
      </c>
      <c r="DV74" s="104" t="str">
        <f>ABA!$A74</f>
        <v/>
      </c>
      <c r="DW74" s="98" t="str">
        <f t="shared" si="25"/>
        <v/>
      </c>
    </row>
    <row r="75" ht="15.75" customHeight="1">
      <c r="A75" s="78"/>
      <c r="B75" s="105"/>
      <c r="C75" s="82"/>
      <c r="D75" s="82"/>
      <c r="E75" s="83"/>
      <c r="F75" s="82"/>
      <c r="G75" s="82"/>
      <c r="H75" s="82"/>
      <c r="I75" s="83"/>
      <c r="J75" s="82"/>
      <c r="K75" s="82"/>
      <c r="L75" s="82"/>
      <c r="M75" s="83"/>
      <c r="N75" s="82"/>
      <c r="O75" s="82"/>
      <c r="P75" s="82"/>
      <c r="Q75" s="83"/>
      <c r="R75" s="82"/>
      <c r="S75" s="82"/>
      <c r="T75" s="82"/>
      <c r="U75" s="83"/>
      <c r="V75" s="82"/>
      <c r="W75" s="82"/>
      <c r="X75" s="82"/>
      <c r="Y75" s="83"/>
      <c r="Z75" s="82"/>
      <c r="AA75" s="82"/>
      <c r="AB75" s="82"/>
      <c r="AC75" s="83"/>
      <c r="AD75" s="82"/>
      <c r="AE75" s="82"/>
      <c r="AF75" s="82"/>
      <c r="AG75" s="83"/>
      <c r="AH75" s="82"/>
      <c r="AI75" s="82"/>
      <c r="AJ75" s="82"/>
      <c r="AK75" s="83"/>
      <c r="AL75" s="82"/>
      <c r="AM75" s="82"/>
      <c r="AN75" s="82"/>
      <c r="AO75" s="82"/>
      <c r="AP75" s="84" t="str">
        <f t="shared" si="2"/>
        <v/>
      </c>
      <c r="AQ75" s="9"/>
      <c r="AR75" s="9"/>
      <c r="AS75" s="8"/>
      <c r="AT75" s="9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8"/>
      <c r="BX75" s="9"/>
      <c r="BY75" s="9"/>
      <c r="BZ75" s="9"/>
      <c r="CA75" s="33"/>
      <c r="CB75" s="85" t="str">
        <f t="shared" si="3"/>
        <v/>
      </c>
      <c r="CC75" s="86" t="str">
        <f t="shared" si="4"/>
        <v/>
      </c>
      <c r="CD75" s="86" t="str">
        <f t="shared" si="5"/>
        <v/>
      </c>
      <c r="CE75" s="86" t="str">
        <f t="shared" si="6"/>
        <v/>
      </c>
      <c r="CF75" s="86" t="str">
        <f t="shared" si="7"/>
        <v/>
      </c>
      <c r="CG75" s="86" t="str">
        <f t="shared" si="8"/>
        <v/>
      </c>
      <c r="CH75" s="86" t="str">
        <f t="shared" si="9"/>
        <v/>
      </c>
      <c r="CI75" s="86" t="str">
        <f t="shared" si="10"/>
        <v/>
      </c>
      <c r="CJ75" s="86" t="str">
        <f t="shared" si="11"/>
        <v/>
      </c>
      <c r="CK75" s="86" t="str">
        <f t="shared" si="12"/>
        <v/>
      </c>
      <c r="CL75" s="86" t="str">
        <f t="shared" si="13"/>
        <v/>
      </c>
      <c r="CM75" s="87" t="str">
        <f t="shared" si="14"/>
        <v/>
      </c>
      <c r="CN75" s="88" t="str">
        <f t="shared" si="26"/>
        <v/>
      </c>
      <c r="CO75" s="88" t="str">
        <f t="shared" si="15"/>
        <v/>
      </c>
      <c r="CP75" s="88" t="str">
        <f t="shared" si="16"/>
        <v/>
      </c>
      <c r="CQ75" s="88" t="str">
        <f t="shared" si="17"/>
        <v/>
      </c>
      <c r="CR75" s="88" t="str">
        <f t="shared" si="18"/>
        <v/>
      </c>
      <c r="CS75" s="88" t="str">
        <f t="shared" si="19"/>
        <v/>
      </c>
      <c r="CT75" s="88" t="str">
        <f t="shared" si="20"/>
        <v/>
      </c>
      <c r="CU75" s="88" t="str">
        <f t="shared" si="21"/>
        <v/>
      </c>
      <c r="CV75" s="88" t="str">
        <f t="shared" si="22"/>
        <v/>
      </c>
      <c r="CW75" s="88" t="str">
        <f t="shared" si="23"/>
        <v/>
      </c>
      <c r="CX75" s="7"/>
      <c r="CY75" s="7"/>
      <c r="CZ75" s="7"/>
      <c r="DA75" s="8"/>
      <c r="DU75" s="93" t="str">
        <f t="shared" si="24"/>
        <v/>
      </c>
      <c r="DV75" s="93" t="str">
        <f>ABA!$A75</f>
        <v/>
      </c>
      <c r="DW75" s="82" t="str">
        <f t="shared" si="25"/>
        <v/>
      </c>
    </row>
    <row r="76" ht="15.75" customHeight="1">
      <c r="A76" s="85"/>
      <c r="B76" s="107"/>
      <c r="C76" s="98"/>
      <c r="D76" s="98"/>
      <c r="E76" s="99"/>
      <c r="F76" s="98"/>
      <c r="G76" s="98"/>
      <c r="H76" s="98"/>
      <c r="I76" s="99"/>
      <c r="J76" s="98"/>
      <c r="K76" s="98"/>
      <c r="L76" s="98"/>
      <c r="M76" s="99"/>
      <c r="N76" s="98"/>
      <c r="O76" s="98"/>
      <c r="P76" s="98"/>
      <c r="Q76" s="99"/>
      <c r="R76" s="98"/>
      <c r="S76" s="98"/>
      <c r="T76" s="98"/>
      <c r="U76" s="99"/>
      <c r="V76" s="98"/>
      <c r="W76" s="98"/>
      <c r="X76" s="98"/>
      <c r="Y76" s="100"/>
      <c r="Z76" s="98"/>
      <c r="AA76" s="98"/>
      <c r="AB76" s="98"/>
      <c r="AC76" s="99"/>
      <c r="AD76" s="98"/>
      <c r="AE76" s="98"/>
      <c r="AF76" s="98"/>
      <c r="AG76" s="99"/>
      <c r="AH76" s="98"/>
      <c r="AI76" s="98"/>
      <c r="AJ76" s="98"/>
      <c r="AK76" s="99"/>
      <c r="AL76" s="98"/>
      <c r="AM76" s="98"/>
      <c r="AN76" s="98"/>
      <c r="AO76" s="98"/>
      <c r="AP76" s="84" t="str">
        <f t="shared" si="2"/>
        <v/>
      </c>
      <c r="AQ76" s="9"/>
      <c r="AR76" s="9"/>
      <c r="AS76" s="8"/>
      <c r="AT76" s="9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8"/>
      <c r="BX76" s="9"/>
      <c r="BY76" s="9"/>
      <c r="BZ76" s="9"/>
      <c r="CA76" s="33"/>
      <c r="CB76" s="85" t="str">
        <f t="shared" si="3"/>
        <v/>
      </c>
      <c r="CC76" s="86" t="str">
        <f t="shared" si="4"/>
        <v/>
      </c>
      <c r="CD76" s="86" t="str">
        <f t="shared" si="5"/>
        <v/>
      </c>
      <c r="CE76" s="86" t="str">
        <f t="shared" si="6"/>
        <v/>
      </c>
      <c r="CF76" s="86" t="str">
        <f t="shared" si="7"/>
        <v/>
      </c>
      <c r="CG76" s="86" t="str">
        <f t="shared" si="8"/>
        <v/>
      </c>
      <c r="CH76" s="86" t="str">
        <f t="shared" si="9"/>
        <v/>
      </c>
      <c r="CI76" s="86" t="str">
        <f t="shared" si="10"/>
        <v/>
      </c>
      <c r="CJ76" s="86" t="str">
        <f t="shared" si="11"/>
        <v/>
      </c>
      <c r="CK76" s="86" t="str">
        <f t="shared" si="12"/>
        <v/>
      </c>
      <c r="CL76" s="86" t="str">
        <f t="shared" si="13"/>
        <v/>
      </c>
      <c r="CM76" s="87" t="str">
        <f t="shared" si="14"/>
        <v/>
      </c>
      <c r="CN76" s="88" t="str">
        <f t="shared" si="26"/>
        <v/>
      </c>
      <c r="CO76" s="88" t="str">
        <f t="shared" si="15"/>
        <v/>
      </c>
      <c r="CP76" s="88" t="str">
        <f t="shared" si="16"/>
        <v/>
      </c>
      <c r="CQ76" s="88" t="str">
        <f t="shared" si="17"/>
        <v/>
      </c>
      <c r="CR76" s="88" t="str">
        <f t="shared" si="18"/>
        <v/>
      </c>
      <c r="CS76" s="88" t="str">
        <f t="shared" si="19"/>
        <v/>
      </c>
      <c r="CT76" s="88" t="str">
        <f t="shared" si="20"/>
        <v/>
      </c>
      <c r="CU76" s="88" t="str">
        <f t="shared" si="21"/>
        <v/>
      </c>
      <c r="CV76" s="88" t="str">
        <f t="shared" si="22"/>
        <v/>
      </c>
      <c r="CW76" s="88" t="str">
        <f t="shared" si="23"/>
        <v/>
      </c>
      <c r="CX76" s="7"/>
      <c r="CY76" s="7"/>
      <c r="CZ76" s="7"/>
      <c r="DA76" s="8"/>
      <c r="DU76" s="104" t="str">
        <f t="shared" si="24"/>
        <v/>
      </c>
      <c r="DV76" s="104" t="str">
        <f>ABA!$A76</f>
        <v/>
      </c>
      <c r="DW76" s="98" t="str">
        <f t="shared" si="25"/>
        <v/>
      </c>
    </row>
    <row r="77" ht="15.75" customHeight="1">
      <c r="A77" s="78"/>
      <c r="B77" s="105"/>
      <c r="C77" s="82"/>
      <c r="D77" s="82"/>
      <c r="E77" s="83"/>
      <c r="F77" s="82"/>
      <c r="G77" s="82"/>
      <c r="H77" s="82"/>
      <c r="I77" s="83"/>
      <c r="J77" s="82"/>
      <c r="K77" s="82"/>
      <c r="L77" s="82"/>
      <c r="M77" s="83"/>
      <c r="N77" s="82"/>
      <c r="O77" s="82"/>
      <c r="P77" s="82"/>
      <c r="Q77" s="83"/>
      <c r="R77" s="82"/>
      <c r="S77" s="82"/>
      <c r="T77" s="82"/>
      <c r="U77" s="83"/>
      <c r="V77" s="82"/>
      <c r="W77" s="82"/>
      <c r="X77" s="82"/>
      <c r="Y77" s="83"/>
      <c r="Z77" s="82"/>
      <c r="AA77" s="82"/>
      <c r="AB77" s="82"/>
      <c r="AC77" s="83"/>
      <c r="AD77" s="82"/>
      <c r="AE77" s="82"/>
      <c r="AF77" s="82"/>
      <c r="AG77" s="83"/>
      <c r="AH77" s="82"/>
      <c r="AI77" s="82"/>
      <c r="AJ77" s="82"/>
      <c r="AK77" s="83"/>
      <c r="AL77" s="82"/>
      <c r="AM77" s="82"/>
      <c r="AN77" s="82"/>
      <c r="AO77" s="82"/>
      <c r="AP77" s="84" t="str">
        <f t="shared" si="2"/>
        <v/>
      </c>
      <c r="AQ77" s="9"/>
      <c r="AR77" s="9"/>
      <c r="AS77" s="8"/>
      <c r="AT77" s="9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8"/>
      <c r="BX77" s="9"/>
      <c r="BY77" s="9"/>
      <c r="BZ77" s="9"/>
      <c r="CA77" s="33"/>
      <c r="CB77" s="85" t="str">
        <f t="shared" si="3"/>
        <v/>
      </c>
      <c r="CC77" s="86" t="str">
        <f t="shared" si="4"/>
        <v/>
      </c>
      <c r="CD77" s="86" t="str">
        <f t="shared" si="5"/>
        <v/>
      </c>
      <c r="CE77" s="86" t="str">
        <f t="shared" si="6"/>
        <v/>
      </c>
      <c r="CF77" s="86" t="str">
        <f t="shared" si="7"/>
        <v/>
      </c>
      <c r="CG77" s="86" t="str">
        <f t="shared" si="8"/>
        <v/>
      </c>
      <c r="CH77" s="86" t="str">
        <f t="shared" si="9"/>
        <v/>
      </c>
      <c r="CI77" s="86" t="str">
        <f t="shared" si="10"/>
        <v/>
      </c>
      <c r="CJ77" s="86" t="str">
        <f t="shared" si="11"/>
        <v/>
      </c>
      <c r="CK77" s="86" t="str">
        <f t="shared" si="12"/>
        <v/>
      </c>
      <c r="CL77" s="86" t="str">
        <f t="shared" si="13"/>
        <v/>
      </c>
      <c r="CM77" s="87" t="str">
        <f t="shared" si="14"/>
        <v/>
      </c>
      <c r="CN77" s="88" t="str">
        <f t="shared" si="26"/>
        <v/>
      </c>
      <c r="CO77" s="88" t="str">
        <f t="shared" si="15"/>
        <v/>
      </c>
      <c r="CP77" s="88" t="str">
        <f t="shared" si="16"/>
        <v/>
      </c>
      <c r="CQ77" s="88" t="str">
        <f t="shared" si="17"/>
        <v/>
      </c>
      <c r="CR77" s="88" t="str">
        <f t="shared" si="18"/>
        <v/>
      </c>
      <c r="CS77" s="88" t="str">
        <f t="shared" si="19"/>
        <v/>
      </c>
      <c r="CT77" s="88" t="str">
        <f t="shared" si="20"/>
        <v/>
      </c>
      <c r="CU77" s="88" t="str">
        <f t="shared" si="21"/>
        <v/>
      </c>
      <c r="CV77" s="88" t="str">
        <f t="shared" si="22"/>
        <v/>
      </c>
      <c r="CW77" s="88" t="str">
        <f t="shared" si="23"/>
        <v/>
      </c>
      <c r="CX77" s="7"/>
      <c r="CY77" s="7"/>
      <c r="CZ77" s="7"/>
      <c r="DA77" s="8"/>
      <c r="DU77" s="93" t="str">
        <f t="shared" si="24"/>
        <v/>
      </c>
      <c r="DV77" s="93" t="str">
        <f>ABA!$A77</f>
        <v/>
      </c>
      <c r="DW77" s="82" t="str">
        <f t="shared" si="25"/>
        <v/>
      </c>
    </row>
    <row r="78" ht="15.75" customHeight="1">
      <c r="A78" s="85"/>
      <c r="B78" s="107"/>
      <c r="C78" s="98"/>
      <c r="D78" s="98"/>
      <c r="E78" s="99"/>
      <c r="F78" s="98"/>
      <c r="G78" s="98"/>
      <c r="H78" s="98"/>
      <c r="I78" s="99"/>
      <c r="J78" s="98"/>
      <c r="K78" s="98"/>
      <c r="L78" s="98"/>
      <c r="M78" s="99"/>
      <c r="N78" s="98"/>
      <c r="O78" s="98"/>
      <c r="P78" s="98"/>
      <c r="Q78" s="99"/>
      <c r="R78" s="98"/>
      <c r="S78" s="98"/>
      <c r="T78" s="98"/>
      <c r="U78" s="99"/>
      <c r="V78" s="98"/>
      <c r="W78" s="98"/>
      <c r="X78" s="98"/>
      <c r="Y78" s="100"/>
      <c r="Z78" s="98"/>
      <c r="AA78" s="98"/>
      <c r="AB78" s="98"/>
      <c r="AC78" s="99"/>
      <c r="AD78" s="98"/>
      <c r="AE78" s="98"/>
      <c r="AF78" s="98"/>
      <c r="AG78" s="99"/>
      <c r="AH78" s="98"/>
      <c r="AI78" s="98"/>
      <c r="AJ78" s="98"/>
      <c r="AK78" s="99"/>
      <c r="AL78" s="98"/>
      <c r="AM78" s="98"/>
      <c r="AN78" s="98"/>
      <c r="AO78" s="98"/>
      <c r="AP78" s="84" t="str">
        <f t="shared" si="2"/>
        <v/>
      </c>
      <c r="AQ78" s="9"/>
      <c r="AR78" s="9"/>
      <c r="AS78" s="8"/>
      <c r="AT78" s="9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8"/>
      <c r="BX78" s="9"/>
      <c r="BY78" s="9"/>
      <c r="BZ78" s="9"/>
      <c r="CA78" s="33"/>
      <c r="CB78" s="85" t="str">
        <f t="shared" si="3"/>
        <v/>
      </c>
      <c r="CC78" s="86" t="str">
        <f t="shared" si="4"/>
        <v/>
      </c>
      <c r="CD78" s="86" t="str">
        <f t="shared" si="5"/>
        <v/>
      </c>
      <c r="CE78" s="86" t="str">
        <f t="shared" si="6"/>
        <v/>
      </c>
      <c r="CF78" s="86" t="str">
        <f t="shared" si="7"/>
        <v/>
      </c>
      <c r="CG78" s="86" t="str">
        <f t="shared" si="8"/>
        <v/>
      </c>
      <c r="CH78" s="86" t="str">
        <f t="shared" si="9"/>
        <v/>
      </c>
      <c r="CI78" s="86" t="str">
        <f t="shared" si="10"/>
        <v/>
      </c>
      <c r="CJ78" s="86" t="str">
        <f t="shared" si="11"/>
        <v/>
      </c>
      <c r="CK78" s="86" t="str">
        <f t="shared" si="12"/>
        <v/>
      </c>
      <c r="CL78" s="86" t="str">
        <f t="shared" si="13"/>
        <v/>
      </c>
      <c r="CM78" s="87" t="str">
        <f t="shared" si="14"/>
        <v/>
      </c>
      <c r="CN78" s="88" t="str">
        <f t="shared" si="26"/>
        <v/>
      </c>
      <c r="CO78" s="88" t="str">
        <f t="shared" si="15"/>
        <v/>
      </c>
      <c r="CP78" s="88" t="str">
        <f t="shared" si="16"/>
        <v/>
      </c>
      <c r="CQ78" s="88" t="str">
        <f t="shared" si="17"/>
        <v/>
      </c>
      <c r="CR78" s="88" t="str">
        <f t="shared" si="18"/>
        <v/>
      </c>
      <c r="CS78" s="88" t="str">
        <f t="shared" si="19"/>
        <v/>
      </c>
      <c r="CT78" s="88" t="str">
        <f t="shared" si="20"/>
        <v/>
      </c>
      <c r="CU78" s="88" t="str">
        <f t="shared" si="21"/>
        <v/>
      </c>
      <c r="CV78" s="88" t="str">
        <f t="shared" si="22"/>
        <v/>
      </c>
      <c r="CW78" s="88" t="str">
        <f t="shared" si="23"/>
        <v/>
      </c>
      <c r="CX78" s="7"/>
      <c r="CY78" s="7"/>
      <c r="CZ78" s="7"/>
      <c r="DA78" s="8"/>
      <c r="DU78" s="104" t="str">
        <f t="shared" si="24"/>
        <v/>
      </c>
      <c r="DV78" s="104" t="str">
        <f>ABA!$A78</f>
        <v/>
      </c>
      <c r="DW78" s="98" t="str">
        <f t="shared" si="25"/>
        <v/>
      </c>
    </row>
    <row r="79" ht="15.75" customHeight="1">
      <c r="A79" s="78"/>
      <c r="B79" s="105"/>
      <c r="C79" s="82"/>
      <c r="D79" s="82"/>
      <c r="E79" s="83"/>
      <c r="F79" s="82"/>
      <c r="G79" s="82"/>
      <c r="H79" s="82"/>
      <c r="I79" s="83"/>
      <c r="J79" s="82"/>
      <c r="K79" s="82"/>
      <c r="L79" s="82"/>
      <c r="M79" s="83"/>
      <c r="N79" s="82"/>
      <c r="O79" s="82"/>
      <c r="P79" s="82"/>
      <c r="Q79" s="83"/>
      <c r="R79" s="82"/>
      <c r="S79" s="82"/>
      <c r="T79" s="82"/>
      <c r="U79" s="83"/>
      <c r="V79" s="82"/>
      <c r="W79" s="82"/>
      <c r="X79" s="82"/>
      <c r="Y79" s="83"/>
      <c r="Z79" s="82"/>
      <c r="AA79" s="82"/>
      <c r="AB79" s="82"/>
      <c r="AC79" s="83"/>
      <c r="AD79" s="82"/>
      <c r="AE79" s="82"/>
      <c r="AF79" s="82"/>
      <c r="AG79" s="83"/>
      <c r="AH79" s="82"/>
      <c r="AI79" s="82"/>
      <c r="AJ79" s="82"/>
      <c r="AK79" s="83"/>
      <c r="AL79" s="82"/>
      <c r="AM79" s="82"/>
      <c r="AN79" s="82"/>
      <c r="AO79" s="82"/>
      <c r="AP79" s="84" t="str">
        <f t="shared" si="2"/>
        <v/>
      </c>
      <c r="AQ79" s="9"/>
      <c r="AR79" s="9"/>
      <c r="AS79" s="8"/>
      <c r="AT79" s="9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8"/>
      <c r="BX79" s="9"/>
      <c r="BY79" s="9"/>
      <c r="BZ79" s="9"/>
      <c r="CA79" s="33"/>
      <c r="CB79" s="85" t="str">
        <f t="shared" si="3"/>
        <v/>
      </c>
      <c r="CC79" s="86" t="str">
        <f t="shared" si="4"/>
        <v/>
      </c>
      <c r="CD79" s="86" t="str">
        <f t="shared" si="5"/>
        <v/>
      </c>
      <c r="CE79" s="86" t="str">
        <f t="shared" si="6"/>
        <v/>
      </c>
      <c r="CF79" s="86" t="str">
        <f t="shared" si="7"/>
        <v/>
      </c>
      <c r="CG79" s="86" t="str">
        <f t="shared" si="8"/>
        <v/>
      </c>
      <c r="CH79" s="86" t="str">
        <f t="shared" si="9"/>
        <v/>
      </c>
      <c r="CI79" s="86" t="str">
        <f t="shared" si="10"/>
        <v/>
      </c>
      <c r="CJ79" s="86" t="str">
        <f t="shared" si="11"/>
        <v/>
      </c>
      <c r="CK79" s="86" t="str">
        <f t="shared" si="12"/>
        <v/>
      </c>
      <c r="CL79" s="86" t="str">
        <f t="shared" si="13"/>
        <v/>
      </c>
      <c r="CM79" s="87" t="str">
        <f t="shared" si="14"/>
        <v/>
      </c>
      <c r="CN79" s="88" t="str">
        <f t="shared" si="26"/>
        <v/>
      </c>
      <c r="CO79" s="88" t="str">
        <f t="shared" si="15"/>
        <v/>
      </c>
      <c r="CP79" s="88" t="str">
        <f t="shared" si="16"/>
        <v/>
      </c>
      <c r="CQ79" s="88" t="str">
        <f t="shared" si="17"/>
        <v/>
      </c>
      <c r="CR79" s="88" t="str">
        <f t="shared" si="18"/>
        <v/>
      </c>
      <c r="CS79" s="88" t="str">
        <f t="shared" si="19"/>
        <v/>
      </c>
      <c r="CT79" s="88" t="str">
        <f t="shared" si="20"/>
        <v/>
      </c>
      <c r="CU79" s="88" t="str">
        <f t="shared" si="21"/>
        <v/>
      </c>
      <c r="CV79" s="88" t="str">
        <f t="shared" si="22"/>
        <v/>
      </c>
      <c r="CW79" s="88" t="str">
        <f t="shared" si="23"/>
        <v/>
      </c>
      <c r="CX79" s="7"/>
      <c r="CY79" s="7"/>
      <c r="CZ79" s="7"/>
      <c r="DA79" s="8"/>
      <c r="DU79" s="93" t="str">
        <f t="shared" si="24"/>
        <v/>
      </c>
      <c r="DV79" s="93" t="str">
        <f>ABA!$A79</f>
        <v/>
      </c>
      <c r="DW79" s="82" t="str">
        <f t="shared" si="25"/>
        <v/>
      </c>
    </row>
    <row r="80" ht="15.75" customHeight="1">
      <c r="A80" s="85"/>
      <c r="B80" s="107"/>
      <c r="C80" s="98"/>
      <c r="D80" s="98"/>
      <c r="E80" s="99"/>
      <c r="F80" s="98"/>
      <c r="G80" s="98"/>
      <c r="H80" s="98"/>
      <c r="I80" s="99"/>
      <c r="J80" s="98"/>
      <c r="K80" s="98"/>
      <c r="L80" s="98"/>
      <c r="M80" s="99"/>
      <c r="N80" s="98"/>
      <c r="O80" s="98"/>
      <c r="P80" s="98"/>
      <c r="Q80" s="99"/>
      <c r="R80" s="98"/>
      <c r="S80" s="98"/>
      <c r="T80" s="98"/>
      <c r="U80" s="99"/>
      <c r="V80" s="98"/>
      <c r="W80" s="98"/>
      <c r="X80" s="98"/>
      <c r="Y80" s="100"/>
      <c r="Z80" s="98"/>
      <c r="AA80" s="98"/>
      <c r="AB80" s="98"/>
      <c r="AC80" s="99"/>
      <c r="AD80" s="98"/>
      <c r="AE80" s="98"/>
      <c r="AF80" s="98"/>
      <c r="AG80" s="99"/>
      <c r="AH80" s="98"/>
      <c r="AI80" s="98"/>
      <c r="AJ80" s="98"/>
      <c r="AK80" s="99"/>
      <c r="AL80" s="98"/>
      <c r="AM80" s="98"/>
      <c r="AN80" s="98"/>
      <c r="AO80" s="98"/>
      <c r="AP80" s="84" t="str">
        <f t="shared" si="2"/>
        <v/>
      </c>
      <c r="AQ80" s="9"/>
      <c r="AR80" s="9"/>
      <c r="AS80" s="8"/>
      <c r="AT80" s="9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8"/>
      <c r="BX80" s="9"/>
      <c r="BY80" s="9"/>
      <c r="BZ80" s="9"/>
      <c r="CA80" s="33"/>
      <c r="CB80" s="85" t="str">
        <f t="shared" si="3"/>
        <v/>
      </c>
      <c r="CC80" s="86" t="str">
        <f t="shared" si="4"/>
        <v/>
      </c>
      <c r="CD80" s="86" t="str">
        <f t="shared" si="5"/>
        <v/>
      </c>
      <c r="CE80" s="86" t="str">
        <f t="shared" si="6"/>
        <v/>
      </c>
      <c r="CF80" s="86" t="str">
        <f t="shared" si="7"/>
        <v/>
      </c>
      <c r="CG80" s="86" t="str">
        <f t="shared" si="8"/>
        <v/>
      </c>
      <c r="CH80" s="86" t="str">
        <f t="shared" si="9"/>
        <v/>
      </c>
      <c r="CI80" s="86" t="str">
        <f t="shared" si="10"/>
        <v/>
      </c>
      <c r="CJ80" s="86" t="str">
        <f t="shared" si="11"/>
        <v/>
      </c>
      <c r="CK80" s="86" t="str">
        <f t="shared" si="12"/>
        <v/>
      </c>
      <c r="CL80" s="86" t="str">
        <f t="shared" si="13"/>
        <v/>
      </c>
      <c r="CM80" s="87" t="str">
        <f t="shared" si="14"/>
        <v/>
      </c>
      <c r="CN80" s="88" t="str">
        <f t="shared" si="26"/>
        <v/>
      </c>
      <c r="CO80" s="88" t="str">
        <f t="shared" si="15"/>
        <v/>
      </c>
      <c r="CP80" s="88" t="str">
        <f t="shared" si="16"/>
        <v/>
      </c>
      <c r="CQ80" s="88" t="str">
        <f t="shared" si="17"/>
        <v/>
      </c>
      <c r="CR80" s="88" t="str">
        <f t="shared" si="18"/>
        <v/>
      </c>
      <c r="CS80" s="88" t="str">
        <f t="shared" si="19"/>
        <v/>
      </c>
      <c r="CT80" s="88" t="str">
        <f t="shared" si="20"/>
        <v/>
      </c>
      <c r="CU80" s="88" t="str">
        <f t="shared" si="21"/>
        <v/>
      </c>
      <c r="CV80" s="88" t="str">
        <f t="shared" si="22"/>
        <v/>
      </c>
      <c r="CW80" s="88" t="str">
        <f t="shared" si="23"/>
        <v/>
      </c>
      <c r="CX80" s="7"/>
      <c r="CY80" s="7"/>
      <c r="CZ80" s="7"/>
      <c r="DA80" s="8"/>
      <c r="DU80" s="104" t="str">
        <f t="shared" si="24"/>
        <v/>
      </c>
      <c r="DV80" s="104" t="str">
        <f>ABA!$A80</f>
        <v/>
      </c>
      <c r="DW80" s="98" t="str">
        <f t="shared" si="25"/>
        <v/>
      </c>
    </row>
    <row r="81" ht="15.75" customHeight="1">
      <c r="A81" s="78"/>
      <c r="B81" s="105"/>
      <c r="C81" s="82"/>
      <c r="D81" s="82"/>
      <c r="E81" s="83"/>
      <c r="F81" s="82"/>
      <c r="G81" s="82"/>
      <c r="H81" s="82"/>
      <c r="I81" s="83"/>
      <c r="J81" s="82"/>
      <c r="K81" s="82"/>
      <c r="L81" s="82"/>
      <c r="M81" s="83"/>
      <c r="N81" s="82"/>
      <c r="O81" s="82"/>
      <c r="P81" s="82"/>
      <c r="Q81" s="83"/>
      <c r="R81" s="82"/>
      <c r="S81" s="82"/>
      <c r="T81" s="82"/>
      <c r="U81" s="83"/>
      <c r="V81" s="82"/>
      <c r="W81" s="82"/>
      <c r="X81" s="82"/>
      <c r="Y81" s="83"/>
      <c r="Z81" s="82"/>
      <c r="AA81" s="82"/>
      <c r="AB81" s="82"/>
      <c r="AC81" s="83"/>
      <c r="AD81" s="82"/>
      <c r="AE81" s="82"/>
      <c r="AF81" s="82"/>
      <c r="AG81" s="83"/>
      <c r="AH81" s="82"/>
      <c r="AI81" s="82"/>
      <c r="AJ81" s="82"/>
      <c r="AK81" s="83"/>
      <c r="AL81" s="82"/>
      <c r="AM81" s="82"/>
      <c r="AN81" s="82"/>
      <c r="AO81" s="82"/>
      <c r="AP81" s="84" t="str">
        <f t="shared" si="2"/>
        <v/>
      </c>
      <c r="AQ81" s="9"/>
      <c r="AR81" s="9"/>
      <c r="AS81" s="8"/>
      <c r="AT81" s="9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8"/>
      <c r="BX81" s="9"/>
      <c r="BY81" s="9"/>
      <c r="BZ81" s="9"/>
      <c r="CA81" s="33"/>
      <c r="CB81" s="85" t="str">
        <f t="shared" si="3"/>
        <v/>
      </c>
      <c r="CC81" s="86" t="str">
        <f t="shared" si="4"/>
        <v/>
      </c>
      <c r="CD81" s="86" t="str">
        <f t="shared" si="5"/>
        <v/>
      </c>
      <c r="CE81" s="86" t="str">
        <f t="shared" si="6"/>
        <v/>
      </c>
      <c r="CF81" s="86" t="str">
        <f t="shared" si="7"/>
        <v/>
      </c>
      <c r="CG81" s="86" t="str">
        <f t="shared" si="8"/>
        <v/>
      </c>
      <c r="CH81" s="86" t="str">
        <f t="shared" si="9"/>
        <v/>
      </c>
      <c r="CI81" s="86" t="str">
        <f t="shared" si="10"/>
        <v/>
      </c>
      <c r="CJ81" s="86" t="str">
        <f t="shared" si="11"/>
        <v/>
      </c>
      <c r="CK81" s="86" t="str">
        <f t="shared" si="12"/>
        <v/>
      </c>
      <c r="CL81" s="86" t="str">
        <f t="shared" si="13"/>
        <v/>
      </c>
      <c r="CM81" s="87" t="str">
        <f t="shared" si="14"/>
        <v/>
      </c>
      <c r="CN81" s="88" t="str">
        <f t="shared" si="26"/>
        <v/>
      </c>
      <c r="CO81" s="88" t="str">
        <f t="shared" si="15"/>
        <v/>
      </c>
      <c r="CP81" s="88" t="str">
        <f t="shared" si="16"/>
        <v/>
      </c>
      <c r="CQ81" s="88" t="str">
        <f t="shared" si="17"/>
        <v/>
      </c>
      <c r="CR81" s="88" t="str">
        <f t="shared" si="18"/>
        <v/>
      </c>
      <c r="CS81" s="88" t="str">
        <f t="shared" si="19"/>
        <v/>
      </c>
      <c r="CT81" s="88" t="str">
        <f t="shared" si="20"/>
        <v/>
      </c>
      <c r="CU81" s="88" t="str">
        <f t="shared" si="21"/>
        <v/>
      </c>
      <c r="CV81" s="88" t="str">
        <f t="shared" si="22"/>
        <v/>
      </c>
      <c r="CW81" s="88" t="str">
        <f t="shared" si="23"/>
        <v/>
      </c>
      <c r="CX81" s="7"/>
      <c r="CY81" s="7"/>
      <c r="CZ81" s="7"/>
      <c r="DA81" s="8"/>
      <c r="DU81" s="93" t="str">
        <f t="shared" si="24"/>
        <v/>
      </c>
      <c r="DV81" s="93" t="str">
        <f>ABA!$A81</f>
        <v/>
      </c>
      <c r="DW81" s="82" t="str">
        <f t="shared" si="25"/>
        <v/>
      </c>
    </row>
    <row r="82" ht="15.75" customHeight="1">
      <c r="A82" s="85"/>
      <c r="B82" s="107"/>
      <c r="C82" s="98"/>
      <c r="D82" s="98"/>
      <c r="E82" s="99"/>
      <c r="F82" s="98"/>
      <c r="G82" s="98"/>
      <c r="H82" s="98"/>
      <c r="I82" s="99"/>
      <c r="J82" s="98"/>
      <c r="K82" s="98"/>
      <c r="L82" s="98"/>
      <c r="M82" s="99"/>
      <c r="N82" s="98"/>
      <c r="O82" s="98"/>
      <c r="P82" s="98"/>
      <c r="Q82" s="99"/>
      <c r="R82" s="98"/>
      <c r="S82" s="98"/>
      <c r="T82" s="98"/>
      <c r="U82" s="99"/>
      <c r="V82" s="98"/>
      <c r="W82" s="98"/>
      <c r="X82" s="98"/>
      <c r="Y82" s="100"/>
      <c r="Z82" s="98"/>
      <c r="AA82" s="98"/>
      <c r="AB82" s="98"/>
      <c r="AC82" s="99"/>
      <c r="AD82" s="98"/>
      <c r="AE82" s="98"/>
      <c r="AF82" s="98"/>
      <c r="AG82" s="99"/>
      <c r="AH82" s="98"/>
      <c r="AI82" s="98"/>
      <c r="AJ82" s="98"/>
      <c r="AK82" s="99"/>
      <c r="AL82" s="98"/>
      <c r="AM82" s="98"/>
      <c r="AN82" s="98"/>
      <c r="AO82" s="98"/>
      <c r="AP82" s="84" t="str">
        <f t="shared" si="2"/>
        <v/>
      </c>
      <c r="AQ82" s="9"/>
      <c r="AR82" s="9"/>
      <c r="AS82" s="8"/>
      <c r="AT82" s="9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8"/>
      <c r="BX82" s="9"/>
      <c r="BY82" s="9"/>
      <c r="BZ82" s="9"/>
      <c r="CA82" s="33"/>
      <c r="CB82" s="85" t="str">
        <f t="shared" si="3"/>
        <v/>
      </c>
      <c r="CC82" s="86" t="str">
        <f t="shared" si="4"/>
        <v/>
      </c>
      <c r="CD82" s="86" t="str">
        <f t="shared" si="5"/>
        <v/>
      </c>
      <c r="CE82" s="86" t="str">
        <f t="shared" si="6"/>
        <v/>
      </c>
      <c r="CF82" s="86" t="str">
        <f t="shared" si="7"/>
        <v/>
      </c>
      <c r="CG82" s="86" t="str">
        <f t="shared" si="8"/>
        <v/>
      </c>
      <c r="CH82" s="86" t="str">
        <f t="shared" si="9"/>
        <v/>
      </c>
      <c r="CI82" s="86" t="str">
        <f t="shared" si="10"/>
        <v/>
      </c>
      <c r="CJ82" s="86" t="str">
        <f t="shared" si="11"/>
        <v/>
      </c>
      <c r="CK82" s="86" t="str">
        <f t="shared" si="12"/>
        <v/>
      </c>
      <c r="CL82" s="86" t="str">
        <f t="shared" si="13"/>
        <v/>
      </c>
      <c r="CM82" s="87" t="str">
        <f t="shared" si="14"/>
        <v/>
      </c>
      <c r="CN82" s="88" t="str">
        <f t="shared" si="26"/>
        <v/>
      </c>
      <c r="CO82" s="88" t="str">
        <f t="shared" si="15"/>
        <v/>
      </c>
      <c r="CP82" s="88" t="str">
        <f t="shared" si="16"/>
        <v/>
      </c>
      <c r="CQ82" s="88" t="str">
        <f t="shared" si="17"/>
        <v/>
      </c>
      <c r="CR82" s="88" t="str">
        <f t="shared" si="18"/>
        <v/>
      </c>
      <c r="CS82" s="88" t="str">
        <f t="shared" si="19"/>
        <v/>
      </c>
      <c r="CT82" s="88" t="str">
        <f t="shared" si="20"/>
        <v/>
      </c>
      <c r="CU82" s="88" t="str">
        <f t="shared" si="21"/>
        <v/>
      </c>
      <c r="CV82" s="88" t="str">
        <f t="shared" si="22"/>
        <v/>
      </c>
      <c r="CW82" s="88" t="str">
        <f t="shared" si="23"/>
        <v/>
      </c>
      <c r="CX82" s="7"/>
      <c r="CY82" s="7"/>
      <c r="CZ82" s="7"/>
      <c r="DA82" s="8"/>
      <c r="DU82" s="104" t="str">
        <f t="shared" si="24"/>
        <v/>
      </c>
      <c r="DV82" s="104" t="str">
        <f>ABA!$A82</f>
        <v/>
      </c>
      <c r="DW82" s="98" t="str">
        <f t="shared" si="25"/>
        <v/>
      </c>
    </row>
    <row r="83" ht="15.75" customHeight="1">
      <c r="A83" s="78"/>
      <c r="B83" s="105"/>
      <c r="C83" s="82"/>
      <c r="D83" s="82"/>
      <c r="E83" s="83"/>
      <c r="F83" s="82"/>
      <c r="G83" s="82"/>
      <c r="H83" s="82"/>
      <c r="I83" s="83"/>
      <c r="J83" s="82"/>
      <c r="K83" s="82"/>
      <c r="L83" s="82"/>
      <c r="M83" s="83"/>
      <c r="N83" s="82"/>
      <c r="O83" s="82"/>
      <c r="P83" s="82"/>
      <c r="Q83" s="83"/>
      <c r="R83" s="82"/>
      <c r="S83" s="82"/>
      <c r="T83" s="82"/>
      <c r="U83" s="83"/>
      <c r="V83" s="82"/>
      <c r="W83" s="82"/>
      <c r="X83" s="82"/>
      <c r="Y83" s="83"/>
      <c r="Z83" s="82"/>
      <c r="AA83" s="82"/>
      <c r="AB83" s="82"/>
      <c r="AC83" s="83"/>
      <c r="AD83" s="82"/>
      <c r="AE83" s="82"/>
      <c r="AF83" s="82"/>
      <c r="AG83" s="83"/>
      <c r="AH83" s="82"/>
      <c r="AI83" s="82"/>
      <c r="AJ83" s="82"/>
      <c r="AK83" s="83"/>
      <c r="AL83" s="82"/>
      <c r="AM83" s="82"/>
      <c r="AN83" s="82"/>
      <c r="AO83" s="82"/>
      <c r="AP83" s="84" t="str">
        <f t="shared" si="2"/>
        <v/>
      </c>
      <c r="AQ83" s="9"/>
      <c r="AR83" s="9"/>
      <c r="AS83" s="8"/>
      <c r="AT83" s="9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8"/>
      <c r="BX83" s="9"/>
      <c r="BY83" s="9"/>
      <c r="BZ83" s="9"/>
      <c r="CA83" s="33"/>
      <c r="CB83" s="85" t="str">
        <f t="shared" si="3"/>
        <v/>
      </c>
      <c r="CC83" s="86" t="str">
        <f t="shared" si="4"/>
        <v/>
      </c>
      <c r="CD83" s="86" t="str">
        <f t="shared" si="5"/>
        <v/>
      </c>
      <c r="CE83" s="86" t="str">
        <f t="shared" si="6"/>
        <v/>
      </c>
      <c r="CF83" s="86" t="str">
        <f t="shared" si="7"/>
        <v/>
      </c>
      <c r="CG83" s="86" t="str">
        <f t="shared" si="8"/>
        <v/>
      </c>
      <c r="CH83" s="86" t="str">
        <f t="shared" si="9"/>
        <v/>
      </c>
      <c r="CI83" s="86" t="str">
        <f t="shared" si="10"/>
        <v/>
      </c>
      <c r="CJ83" s="86" t="str">
        <f t="shared" si="11"/>
        <v/>
      </c>
      <c r="CK83" s="86" t="str">
        <f t="shared" si="12"/>
        <v/>
      </c>
      <c r="CL83" s="86" t="str">
        <f t="shared" si="13"/>
        <v/>
      </c>
      <c r="CM83" s="87" t="str">
        <f t="shared" si="14"/>
        <v/>
      </c>
      <c r="CN83" s="88" t="str">
        <f t="shared" si="26"/>
        <v/>
      </c>
      <c r="CO83" s="88" t="str">
        <f t="shared" si="15"/>
        <v/>
      </c>
      <c r="CP83" s="88" t="str">
        <f t="shared" si="16"/>
        <v/>
      </c>
      <c r="CQ83" s="88" t="str">
        <f t="shared" si="17"/>
        <v/>
      </c>
      <c r="CR83" s="88" t="str">
        <f t="shared" si="18"/>
        <v/>
      </c>
      <c r="CS83" s="88" t="str">
        <f t="shared" si="19"/>
        <v/>
      </c>
      <c r="CT83" s="88" t="str">
        <f t="shared" si="20"/>
        <v/>
      </c>
      <c r="CU83" s="88" t="str">
        <f t="shared" si="21"/>
        <v/>
      </c>
      <c r="CV83" s="88" t="str">
        <f t="shared" si="22"/>
        <v/>
      </c>
      <c r="CW83" s="88" t="str">
        <f t="shared" si="23"/>
        <v/>
      </c>
      <c r="CX83" s="7"/>
      <c r="CY83" s="7"/>
      <c r="CZ83" s="7"/>
      <c r="DA83" s="8"/>
      <c r="DU83" s="93" t="str">
        <f t="shared" si="24"/>
        <v/>
      </c>
      <c r="DV83" s="93" t="str">
        <f>ABA!$A83</f>
        <v/>
      </c>
      <c r="DW83" s="82" t="str">
        <f t="shared" si="25"/>
        <v/>
      </c>
    </row>
    <row r="84" ht="15.75" customHeight="1">
      <c r="A84" s="85"/>
      <c r="B84" s="107"/>
      <c r="C84" s="98"/>
      <c r="D84" s="98"/>
      <c r="E84" s="99"/>
      <c r="F84" s="98"/>
      <c r="G84" s="98"/>
      <c r="H84" s="98"/>
      <c r="I84" s="99"/>
      <c r="J84" s="98"/>
      <c r="K84" s="98"/>
      <c r="L84" s="98"/>
      <c r="M84" s="99"/>
      <c r="N84" s="98"/>
      <c r="O84" s="98"/>
      <c r="P84" s="98"/>
      <c r="Q84" s="99"/>
      <c r="R84" s="98"/>
      <c r="S84" s="98"/>
      <c r="T84" s="98"/>
      <c r="U84" s="99"/>
      <c r="V84" s="98"/>
      <c r="W84" s="98"/>
      <c r="X84" s="98"/>
      <c r="Y84" s="100"/>
      <c r="Z84" s="98"/>
      <c r="AA84" s="98"/>
      <c r="AB84" s="98"/>
      <c r="AC84" s="99"/>
      <c r="AD84" s="98"/>
      <c r="AE84" s="98"/>
      <c r="AF84" s="98"/>
      <c r="AG84" s="99"/>
      <c r="AH84" s="98"/>
      <c r="AI84" s="98"/>
      <c r="AJ84" s="98"/>
      <c r="AK84" s="99"/>
      <c r="AL84" s="98"/>
      <c r="AM84" s="98"/>
      <c r="AN84" s="98"/>
      <c r="AO84" s="98"/>
      <c r="AP84" s="84" t="str">
        <f t="shared" si="2"/>
        <v/>
      </c>
      <c r="AQ84" s="9"/>
      <c r="AR84" s="9"/>
      <c r="AS84" s="8"/>
      <c r="AT84" s="9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8"/>
      <c r="BX84" s="9"/>
      <c r="BY84" s="9"/>
      <c r="BZ84" s="9"/>
      <c r="CA84" s="33"/>
      <c r="CB84" s="85" t="str">
        <f t="shared" si="3"/>
        <v/>
      </c>
      <c r="CC84" s="86" t="str">
        <f t="shared" si="4"/>
        <v/>
      </c>
      <c r="CD84" s="86" t="str">
        <f t="shared" si="5"/>
        <v/>
      </c>
      <c r="CE84" s="86" t="str">
        <f t="shared" si="6"/>
        <v/>
      </c>
      <c r="CF84" s="86" t="str">
        <f t="shared" si="7"/>
        <v/>
      </c>
      <c r="CG84" s="86" t="str">
        <f t="shared" si="8"/>
        <v/>
      </c>
      <c r="CH84" s="86" t="str">
        <f t="shared" si="9"/>
        <v/>
      </c>
      <c r="CI84" s="86" t="str">
        <f t="shared" si="10"/>
        <v/>
      </c>
      <c r="CJ84" s="86" t="str">
        <f t="shared" si="11"/>
        <v/>
      </c>
      <c r="CK84" s="86" t="str">
        <f t="shared" si="12"/>
        <v/>
      </c>
      <c r="CL84" s="86" t="str">
        <f t="shared" si="13"/>
        <v/>
      </c>
      <c r="CM84" s="87" t="str">
        <f t="shared" si="14"/>
        <v/>
      </c>
      <c r="CN84" s="88" t="str">
        <f t="shared" si="26"/>
        <v/>
      </c>
      <c r="CO84" s="88" t="str">
        <f t="shared" si="15"/>
        <v/>
      </c>
      <c r="CP84" s="88" t="str">
        <f t="shared" si="16"/>
        <v/>
      </c>
      <c r="CQ84" s="88" t="str">
        <f t="shared" si="17"/>
        <v/>
      </c>
      <c r="CR84" s="88" t="str">
        <f t="shared" si="18"/>
        <v/>
      </c>
      <c r="CS84" s="88" t="str">
        <f t="shared" si="19"/>
        <v/>
      </c>
      <c r="CT84" s="88" t="str">
        <f t="shared" si="20"/>
        <v/>
      </c>
      <c r="CU84" s="88" t="str">
        <f t="shared" si="21"/>
        <v/>
      </c>
      <c r="CV84" s="88" t="str">
        <f t="shared" si="22"/>
        <v/>
      </c>
      <c r="CW84" s="88" t="str">
        <f t="shared" si="23"/>
        <v/>
      </c>
      <c r="CX84" s="7"/>
      <c r="CY84" s="7"/>
      <c r="CZ84" s="7"/>
      <c r="DA84" s="8"/>
      <c r="DU84" s="104" t="str">
        <f t="shared" si="24"/>
        <v/>
      </c>
      <c r="DV84" s="104" t="str">
        <f>ABA!$A84</f>
        <v/>
      </c>
      <c r="DW84" s="98" t="str">
        <f t="shared" si="25"/>
        <v/>
      </c>
    </row>
    <row r="85" ht="15.75" customHeight="1">
      <c r="A85" s="78"/>
      <c r="B85" s="105"/>
      <c r="C85" s="82"/>
      <c r="D85" s="82"/>
      <c r="E85" s="83"/>
      <c r="F85" s="82"/>
      <c r="G85" s="82"/>
      <c r="H85" s="82"/>
      <c r="I85" s="83"/>
      <c r="J85" s="82"/>
      <c r="K85" s="82"/>
      <c r="L85" s="82"/>
      <c r="M85" s="83"/>
      <c r="N85" s="82"/>
      <c r="O85" s="82"/>
      <c r="P85" s="82"/>
      <c r="Q85" s="83"/>
      <c r="R85" s="82"/>
      <c r="S85" s="82"/>
      <c r="T85" s="82"/>
      <c r="U85" s="83"/>
      <c r="V85" s="82"/>
      <c r="W85" s="82"/>
      <c r="X85" s="82"/>
      <c r="Y85" s="83"/>
      <c r="Z85" s="82"/>
      <c r="AA85" s="82"/>
      <c r="AB85" s="82"/>
      <c r="AC85" s="83"/>
      <c r="AD85" s="82"/>
      <c r="AE85" s="82"/>
      <c r="AF85" s="82"/>
      <c r="AG85" s="83"/>
      <c r="AH85" s="82"/>
      <c r="AI85" s="82"/>
      <c r="AJ85" s="82"/>
      <c r="AK85" s="83"/>
      <c r="AL85" s="82"/>
      <c r="AM85" s="82"/>
      <c r="AN85" s="82"/>
      <c r="AO85" s="82"/>
      <c r="AP85" s="84" t="str">
        <f t="shared" si="2"/>
        <v/>
      </c>
      <c r="AQ85" s="9"/>
      <c r="AR85" s="9"/>
      <c r="AS85" s="8"/>
      <c r="AT85" s="9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8"/>
      <c r="BX85" s="9"/>
      <c r="BY85" s="9"/>
      <c r="BZ85" s="9"/>
      <c r="CA85" s="33"/>
      <c r="CB85" s="85" t="str">
        <f t="shared" si="3"/>
        <v/>
      </c>
      <c r="CC85" s="86" t="str">
        <f t="shared" si="4"/>
        <v/>
      </c>
      <c r="CD85" s="86" t="str">
        <f t="shared" si="5"/>
        <v/>
      </c>
      <c r="CE85" s="86" t="str">
        <f t="shared" si="6"/>
        <v/>
      </c>
      <c r="CF85" s="86" t="str">
        <f t="shared" si="7"/>
        <v/>
      </c>
      <c r="CG85" s="86" t="str">
        <f t="shared" si="8"/>
        <v/>
      </c>
      <c r="CH85" s="86" t="str">
        <f t="shared" si="9"/>
        <v/>
      </c>
      <c r="CI85" s="86" t="str">
        <f t="shared" si="10"/>
        <v/>
      </c>
      <c r="CJ85" s="86" t="str">
        <f t="shared" si="11"/>
        <v/>
      </c>
      <c r="CK85" s="86" t="str">
        <f t="shared" si="12"/>
        <v/>
      </c>
      <c r="CL85" s="86" t="str">
        <f t="shared" si="13"/>
        <v/>
      </c>
      <c r="CM85" s="87" t="str">
        <f t="shared" si="14"/>
        <v/>
      </c>
      <c r="CN85" s="88" t="str">
        <f t="shared" si="26"/>
        <v/>
      </c>
      <c r="CO85" s="88" t="str">
        <f t="shared" si="15"/>
        <v/>
      </c>
      <c r="CP85" s="88" t="str">
        <f t="shared" si="16"/>
        <v/>
      </c>
      <c r="CQ85" s="88" t="str">
        <f t="shared" si="17"/>
        <v/>
      </c>
      <c r="CR85" s="88" t="str">
        <f t="shared" si="18"/>
        <v/>
      </c>
      <c r="CS85" s="88" t="str">
        <f t="shared" si="19"/>
        <v/>
      </c>
      <c r="CT85" s="88" t="str">
        <f t="shared" si="20"/>
        <v/>
      </c>
      <c r="CU85" s="88" t="str">
        <f t="shared" si="21"/>
        <v/>
      </c>
      <c r="CV85" s="88" t="str">
        <f t="shared" si="22"/>
        <v/>
      </c>
      <c r="CW85" s="88" t="str">
        <f t="shared" si="23"/>
        <v/>
      </c>
      <c r="CX85" s="7"/>
      <c r="CY85" s="7"/>
      <c r="CZ85" s="7"/>
      <c r="DA85" s="8"/>
      <c r="DU85" s="93" t="str">
        <f t="shared" si="24"/>
        <v/>
      </c>
      <c r="DV85" s="93" t="str">
        <f>ABA!$A85</f>
        <v/>
      </c>
      <c r="DW85" s="82" t="str">
        <f t="shared" si="25"/>
        <v/>
      </c>
    </row>
    <row r="86" ht="15.75" customHeight="1">
      <c r="A86" s="85"/>
      <c r="B86" s="107"/>
      <c r="C86" s="98"/>
      <c r="D86" s="98"/>
      <c r="E86" s="99"/>
      <c r="F86" s="98"/>
      <c r="G86" s="98"/>
      <c r="H86" s="98"/>
      <c r="I86" s="99"/>
      <c r="J86" s="98"/>
      <c r="K86" s="98"/>
      <c r="L86" s="98"/>
      <c r="M86" s="99"/>
      <c r="N86" s="98"/>
      <c r="O86" s="98"/>
      <c r="P86" s="98"/>
      <c r="Q86" s="99"/>
      <c r="R86" s="98"/>
      <c r="S86" s="98"/>
      <c r="T86" s="98"/>
      <c r="U86" s="99"/>
      <c r="V86" s="98"/>
      <c r="W86" s="98"/>
      <c r="X86" s="98"/>
      <c r="Y86" s="100"/>
      <c r="Z86" s="98"/>
      <c r="AA86" s="98"/>
      <c r="AB86" s="98"/>
      <c r="AC86" s="99"/>
      <c r="AD86" s="98"/>
      <c r="AE86" s="98"/>
      <c r="AF86" s="98"/>
      <c r="AG86" s="99"/>
      <c r="AH86" s="98"/>
      <c r="AI86" s="98"/>
      <c r="AJ86" s="98"/>
      <c r="AK86" s="99"/>
      <c r="AL86" s="98"/>
      <c r="AM86" s="98"/>
      <c r="AN86" s="98"/>
      <c r="AO86" s="98"/>
      <c r="AP86" s="84" t="str">
        <f t="shared" si="2"/>
        <v/>
      </c>
      <c r="AQ86" s="9"/>
      <c r="AR86" s="9"/>
      <c r="AS86" s="8"/>
      <c r="AT86" s="9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8"/>
      <c r="BX86" s="9"/>
      <c r="BY86" s="9"/>
      <c r="BZ86" s="9"/>
      <c r="CA86" s="33"/>
      <c r="CB86" s="85" t="str">
        <f t="shared" si="3"/>
        <v/>
      </c>
      <c r="CC86" s="86" t="str">
        <f t="shared" si="4"/>
        <v/>
      </c>
      <c r="CD86" s="86" t="str">
        <f t="shared" si="5"/>
        <v/>
      </c>
      <c r="CE86" s="86" t="str">
        <f t="shared" si="6"/>
        <v/>
      </c>
      <c r="CF86" s="86" t="str">
        <f t="shared" si="7"/>
        <v/>
      </c>
      <c r="CG86" s="86" t="str">
        <f t="shared" si="8"/>
        <v/>
      </c>
      <c r="CH86" s="86" t="str">
        <f t="shared" si="9"/>
        <v/>
      </c>
      <c r="CI86" s="86" t="str">
        <f t="shared" si="10"/>
        <v/>
      </c>
      <c r="CJ86" s="86" t="str">
        <f t="shared" si="11"/>
        <v/>
      </c>
      <c r="CK86" s="86" t="str">
        <f t="shared" si="12"/>
        <v/>
      </c>
      <c r="CL86" s="86" t="str">
        <f t="shared" si="13"/>
        <v/>
      </c>
      <c r="CM86" s="87" t="str">
        <f t="shared" si="14"/>
        <v/>
      </c>
      <c r="CN86" s="88" t="str">
        <f t="shared" si="26"/>
        <v/>
      </c>
      <c r="CO86" s="88" t="str">
        <f t="shared" si="15"/>
        <v/>
      </c>
      <c r="CP86" s="88" t="str">
        <f t="shared" si="16"/>
        <v/>
      </c>
      <c r="CQ86" s="88" t="str">
        <f t="shared" si="17"/>
        <v/>
      </c>
      <c r="CR86" s="88" t="str">
        <f t="shared" si="18"/>
        <v/>
      </c>
      <c r="CS86" s="88" t="str">
        <f t="shared" si="19"/>
        <v/>
      </c>
      <c r="CT86" s="88" t="str">
        <f t="shared" si="20"/>
        <v/>
      </c>
      <c r="CU86" s="88" t="str">
        <f t="shared" si="21"/>
        <v/>
      </c>
      <c r="CV86" s="88" t="str">
        <f t="shared" si="22"/>
        <v/>
      </c>
      <c r="CW86" s="88" t="str">
        <f t="shared" si="23"/>
        <v/>
      </c>
      <c r="CX86" s="7"/>
      <c r="CY86" s="7"/>
      <c r="CZ86" s="7"/>
      <c r="DA86" s="8"/>
      <c r="DU86" s="104" t="str">
        <f t="shared" si="24"/>
        <v/>
      </c>
      <c r="DV86" s="104" t="str">
        <f>ABA!$A86</f>
        <v/>
      </c>
      <c r="DW86" s="98" t="str">
        <f t="shared" si="25"/>
        <v/>
      </c>
    </row>
    <row r="87" ht="15.75" customHeight="1">
      <c r="A87" s="78"/>
      <c r="B87" s="105"/>
      <c r="C87" s="82"/>
      <c r="D87" s="82"/>
      <c r="E87" s="83"/>
      <c r="F87" s="82"/>
      <c r="G87" s="82"/>
      <c r="H87" s="82"/>
      <c r="I87" s="83"/>
      <c r="J87" s="82"/>
      <c r="K87" s="82"/>
      <c r="L87" s="82"/>
      <c r="M87" s="83"/>
      <c r="N87" s="82"/>
      <c r="O87" s="82"/>
      <c r="P87" s="82"/>
      <c r="Q87" s="83"/>
      <c r="R87" s="82"/>
      <c r="S87" s="82"/>
      <c r="T87" s="82"/>
      <c r="U87" s="83"/>
      <c r="V87" s="82"/>
      <c r="W87" s="82"/>
      <c r="X87" s="82"/>
      <c r="Y87" s="83"/>
      <c r="Z87" s="82"/>
      <c r="AA87" s="82"/>
      <c r="AB87" s="82"/>
      <c r="AC87" s="83"/>
      <c r="AD87" s="82"/>
      <c r="AE87" s="82"/>
      <c r="AF87" s="82"/>
      <c r="AG87" s="83"/>
      <c r="AH87" s="82"/>
      <c r="AI87" s="82"/>
      <c r="AJ87" s="82"/>
      <c r="AK87" s="83"/>
      <c r="AL87" s="82"/>
      <c r="AM87" s="82"/>
      <c r="AN87" s="82"/>
      <c r="AO87" s="82"/>
      <c r="AP87" s="84" t="str">
        <f t="shared" si="2"/>
        <v/>
      </c>
      <c r="AQ87" s="9"/>
      <c r="AR87" s="9"/>
      <c r="AS87" s="8"/>
      <c r="AT87" s="9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8"/>
      <c r="BX87" s="9"/>
      <c r="BY87" s="9"/>
      <c r="BZ87" s="9"/>
      <c r="CA87" s="33"/>
      <c r="CB87" s="85" t="str">
        <f t="shared" si="3"/>
        <v/>
      </c>
      <c r="CC87" s="86" t="str">
        <f t="shared" si="4"/>
        <v/>
      </c>
      <c r="CD87" s="86" t="str">
        <f t="shared" si="5"/>
        <v/>
      </c>
      <c r="CE87" s="86" t="str">
        <f t="shared" si="6"/>
        <v/>
      </c>
      <c r="CF87" s="86" t="str">
        <f t="shared" si="7"/>
        <v/>
      </c>
      <c r="CG87" s="86" t="str">
        <f t="shared" si="8"/>
        <v/>
      </c>
      <c r="CH87" s="86" t="str">
        <f t="shared" si="9"/>
        <v/>
      </c>
      <c r="CI87" s="86" t="str">
        <f t="shared" si="10"/>
        <v/>
      </c>
      <c r="CJ87" s="86" t="str">
        <f t="shared" si="11"/>
        <v/>
      </c>
      <c r="CK87" s="86" t="str">
        <f t="shared" si="12"/>
        <v/>
      </c>
      <c r="CL87" s="86" t="str">
        <f t="shared" si="13"/>
        <v/>
      </c>
      <c r="CM87" s="87" t="str">
        <f t="shared" si="14"/>
        <v/>
      </c>
      <c r="CN87" s="88" t="str">
        <f t="shared" si="26"/>
        <v/>
      </c>
      <c r="CO87" s="88" t="str">
        <f t="shared" si="15"/>
        <v/>
      </c>
      <c r="CP87" s="88" t="str">
        <f t="shared" si="16"/>
        <v/>
      </c>
      <c r="CQ87" s="88" t="str">
        <f t="shared" si="17"/>
        <v/>
      </c>
      <c r="CR87" s="88" t="str">
        <f t="shared" si="18"/>
        <v/>
      </c>
      <c r="CS87" s="88" t="str">
        <f t="shared" si="19"/>
        <v/>
      </c>
      <c r="CT87" s="88" t="str">
        <f t="shared" si="20"/>
        <v/>
      </c>
      <c r="CU87" s="88" t="str">
        <f t="shared" si="21"/>
        <v/>
      </c>
      <c r="CV87" s="88" t="str">
        <f t="shared" si="22"/>
        <v/>
      </c>
      <c r="CW87" s="88" t="str">
        <f t="shared" si="23"/>
        <v/>
      </c>
      <c r="CX87" s="7"/>
      <c r="CY87" s="7"/>
      <c r="CZ87" s="7"/>
      <c r="DA87" s="8"/>
      <c r="DU87" s="93" t="str">
        <f t="shared" si="24"/>
        <v/>
      </c>
      <c r="DV87" s="93" t="str">
        <f>ABA!$A87</f>
        <v/>
      </c>
      <c r="DW87" s="82" t="str">
        <f t="shared" si="25"/>
        <v/>
      </c>
    </row>
    <row r="88" ht="15.75" customHeight="1">
      <c r="A88" s="85"/>
      <c r="B88" s="107"/>
      <c r="C88" s="98"/>
      <c r="D88" s="98"/>
      <c r="E88" s="99"/>
      <c r="F88" s="98"/>
      <c r="G88" s="98"/>
      <c r="H88" s="98"/>
      <c r="I88" s="99"/>
      <c r="J88" s="98"/>
      <c r="K88" s="98"/>
      <c r="L88" s="98"/>
      <c r="M88" s="99"/>
      <c r="N88" s="98"/>
      <c r="O88" s="98"/>
      <c r="P88" s="98"/>
      <c r="Q88" s="99"/>
      <c r="R88" s="98"/>
      <c r="S88" s="98"/>
      <c r="T88" s="98"/>
      <c r="U88" s="99"/>
      <c r="V88" s="98"/>
      <c r="W88" s="98"/>
      <c r="X88" s="98"/>
      <c r="Y88" s="100"/>
      <c r="Z88" s="98"/>
      <c r="AA88" s="98"/>
      <c r="AB88" s="98"/>
      <c r="AC88" s="99"/>
      <c r="AD88" s="98"/>
      <c r="AE88" s="98"/>
      <c r="AF88" s="98"/>
      <c r="AG88" s="99"/>
      <c r="AH88" s="98"/>
      <c r="AI88" s="98"/>
      <c r="AJ88" s="98"/>
      <c r="AK88" s="99"/>
      <c r="AL88" s="98"/>
      <c r="AM88" s="98"/>
      <c r="AN88" s="98"/>
      <c r="AO88" s="98"/>
      <c r="AP88" s="84" t="str">
        <f t="shared" si="2"/>
        <v/>
      </c>
      <c r="AQ88" s="9"/>
      <c r="AR88" s="9"/>
      <c r="AS88" s="8"/>
      <c r="AT88" s="9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8"/>
      <c r="BX88" s="9"/>
      <c r="BY88" s="9"/>
      <c r="BZ88" s="9"/>
      <c r="CA88" s="33"/>
      <c r="CB88" s="85" t="str">
        <f t="shared" si="3"/>
        <v/>
      </c>
      <c r="CC88" s="86" t="str">
        <f t="shared" si="4"/>
        <v/>
      </c>
      <c r="CD88" s="86" t="str">
        <f t="shared" si="5"/>
        <v/>
      </c>
      <c r="CE88" s="86" t="str">
        <f t="shared" si="6"/>
        <v/>
      </c>
      <c r="CF88" s="86" t="str">
        <f t="shared" si="7"/>
        <v/>
      </c>
      <c r="CG88" s="86" t="str">
        <f t="shared" si="8"/>
        <v/>
      </c>
      <c r="CH88" s="86" t="str">
        <f t="shared" si="9"/>
        <v/>
      </c>
      <c r="CI88" s="86" t="str">
        <f t="shared" si="10"/>
        <v/>
      </c>
      <c r="CJ88" s="86" t="str">
        <f t="shared" si="11"/>
        <v/>
      </c>
      <c r="CK88" s="86" t="str">
        <f t="shared" si="12"/>
        <v/>
      </c>
      <c r="CL88" s="86" t="str">
        <f t="shared" si="13"/>
        <v/>
      </c>
      <c r="CM88" s="87" t="str">
        <f t="shared" si="14"/>
        <v/>
      </c>
      <c r="CN88" s="88" t="str">
        <f t="shared" si="26"/>
        <v/>
      </c>
      <c r="CO88" s="88" t="str">
        <f t="shared" si="15"/>
        <v/>
      </c>
      <c r="CP88" s="88" t="str">
        <f t="shared" si="16"/>
        <v/>
      </c>
      <c r="CQ88" s="88" t="str">
        <f t="shared" si="17"/>
        <v/>
      </c>
      <c r="CR88" s="88" t="str">
        <f t="shared" si="18"/>
        <v/>
      </c>
      <c r="CS88" s="88" t="str">
        <f t="shared" si="19"/>
        <v/>
      </c>
      <c r="CT88" s="88" t="str">
        <f t="shared" si="20"/>
        <v/>
      </c>
      <c r="CU88" s="88" t="str">
        <f t="shared" si="21"/>
        <v/>
      </c>
      <c r="CV88" s="88" t="str">
        <f t="shared" si="22"/>
        <v/>
      </c>
      <c r="CW88" s="88" t="str">
        <f t="shared" si="23"/>
        <v/>
      </c>
      <c r="CX88" s="7"/>
      <c r="CY88" s="7"/>
      <c r="CZ88" s="7"/>
      <c r="DA88" s="8"/>
      <c r="DU88" s="104" t="str">
        <f t="shared" si="24"/>
        <v/>
      </c>
      <c r="DV88" s="104" t="str">
        <f>ABA!$A88</f>
        <v/>
      </c>
      <c r="DW88" s="98" t="str">
        <f t="shared" si="25"/>
        <v/>
      </c>
    </row>
    <row r="89" ht="15.75" customHeight="1">
      <c r="A89" s="78"/>
      <c r="B89" s="105"/>
      <c r="C89" s="82"/>
      <c r="D89" s="82"/>
      <c r="E89" s="83"/>
      <c r="F89" s="82"/>
      <c r="G89" s="82"/>
      <c r="H89" s="82"/>
      <c r="I89" s="83"/>
      <c r="J89" s="82"/>
      <c r="K89" s="82"/>
      <c r="L89" s="82"/>
      <c r="M89" s="83"/>
      <c r="N89" s="82"/>
      <c r="O89" s="82"/>
      <c r="P89" s="82"/>
      <c r="Q89" s="83"/>
      <c r="R89" s="82"/>
      <c r="S89" s="82"/>
      <c r="T89" s="82"/>
      <c r="U89" s="83"/>
      <c r="V89" s="82"/>
      <c r="W89" s="82"/>
      <c r="X89" s="82"/>
      <c r="Y89" s="83"/>
      <c r="Z89" s="82"/>
      <c r="AA89" s="82"/>
      <c r="AB89" s="82"/>
      <c r="AC89" s="83"/>
      <c r="AD89" s="82"/>
      <c r="AE89" s="82"/>
      <c r="AF89" s="82"/>
      <c r="AG89" s="83"/>
      <c r="AH89" s="82"/>
      <c r="AI89" s="82"/>
      <c r="AJ89" s="82"/>
      <c r="AK89" s="83"/>
      <c r="AL89" s="82"/>
      <c r="AM89" s="82"/>
      <c r="AN89" s="82"/>
      <c r="AO89" s="82"/>
      <c r="AP89" s="84" t="str">
        <f t="shared" si="2"/>
        <v/>
      </c>
      <c r="AQ89" s="9"/>
      <c r="AR89" s="9"/>
      <c r="AS89" s="8"/>
      <c r="AT89" s="9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8"/>
      <c r="BX89" s="9"/>
      <c r="BY89" s="9"/>
      <c r="BZ89" s="9"/>
      <c r="CA89" s="33"/>
      <c r="CB89" s="85" t="str">
        <f t="shared" si="3"/>
        <v/>
      </c>
      <c r="CC89" s="86" t="str">
        <f t="shared" si="4"/>
        <v/>
      </c>
      <c r="CD89" s="86" t="str">
        <f t="shared" si="5"/>
        <v/>
      </c>
      <c r="CE89" s="86" t="str">
        <f t="shared" si="6"/>
        <v/>
      </c>
      <c r="CF89" s="86" t="str">
        <f t="shared" si="7"/>
        <v/>
      </c>
      <c r="CG89" s="86" t="str">
        <f t="shared" si="8"/>
        <v/>
      </c>
      <c r="CH89" s="86" t="str">
        <f t="shared" si="9"/>
        <v/>
      </c>
      <c r="CI89" s="86" t="str">
        <f t="shared" si="10"/>
        <v/>
      </c>
      <c r="CJ89" s="86" t="str">
        <f t="shared" si="11"/>
        <v/>
      </c>
      <c r="CK89" s="86" t="str">
        <f t="shared" si="12"/>
        <v/>
      </c>
      <c r="CL89" s="86" t="str">
        <f t="shared" si="13"/>
        <v/>
      </c>
      <c r="CM89" s="87" t="str">
        <f t="shared" si="14"/>
        <v/>
      </c>
      <c r="CN89" s="88" t="str">
        <f t="shared" si="26"/>
        <v/>
      </c>
      <c r="CO89" s="88" t="str">
        <f t="shared" si="15"/>
        <v/>
      </c>
      <c r="CP89" s="88" t="str">
        <f t="shared" si="16"/>
        <v/>
      </c>
      <c r="CQ89" s="88" t="str">
        <f t="shared" si="17"/>
        <v/>
      </c>
      <c r="CR89" s="88" t="str">
        <f t="shared" si="18"/>
        <v/>
      </c>
      <c r="CS89" s="88" t="str">
        <f t="shared" si="19"/>
        <v/>
      </c>
      <c r="CT89" s="88" t="str">
        <f t="shared" si="20"/>
        <v/>
      </c>
      <c r="CU89" s="88" t="str">
        <f t="shared" si="21"/>
        <v/>
      </c>
      <c r="CV89" s="88" t="str">
        <f t="shared" si="22"/>
        <v/>
      </c>
      <c r="CW89" s="88" t="str">
        <f t="shared" si="23"/>
        <v/>
      </c>
      <c r="CX89" s="7"/>
      <c r="CY89" s="7"/>
      <c r="CZ89" s="7"/>
      <c r="DA89" s="8"/>
      <c r="DU89" s="93" t="str">
        <f t="shared" si="24"/>
        <v/>
      </c>
      <c r="DV89" s="93" t="str">
        <f>ABA!$A89</f>
        <v/>
      </c>
      <c r="DW89" s="82" t="str">
        <f t="shared" si="25"/>
        <v/>
      </c>
    </row>
    <row r="90" ht="15.75" customHeight="1">
      <c r="A90" s="85"/>
      <c r="B90" s="107"/>
      <c r="C90" s="98"/>
      <c r="D90" s="98"/>
      <c r="E90" s="99"/>
      <c r="F90" s="98"/>
      <c r="G90" s="98"/>
      <c r="H90" s="98"/>
      <c r="I90" s="99"/>
      <c r="J90" s="98"/>
      <c r="K90" s="98"/>
      <c r="L90" s="98"/>
      <c r="M90" s="99"/>
      <c r="N90" s="98"/>
      <c r="O90" s="98"/>
      <c r="P90" s="98"/>
      <c r="Q90" s="99"/>
      <c r="R90" s="98"/>
      <c r="S90" s="98"/>
      <c r="T90" s="98"/>
      <c r="U90" s="99"/>
      <c r="V90" s="98"/>
      <c r="W90" s="98"/>
      <c r="X90" s="98"/>
      <c r="Y90" s="100"/>
      <c r="Z90" s="98"/>
      <c r="AA90" s="98"/>
      <c r="AB90" s="98"/>
      <c r="AC90" s="99"/>
      <c r="AD90" s="98"/>
      <c r="AE90" s="98"/>
      <c r="AF90" s="98"/>
      <c r="AG90" s="99"/>
      <c r="AH90" s="98"/>
      <c r="AI90" s="98"/>
      <c r="AJ90" s="98"/>
      <c r="AK90" s="99"/>
      <c r="AL90" s="98"/>
      <c r="AM90" s="98"/>
      <c r="AN90" s="98"/>
      <c r="AO90" s="98"/>
      <c r="AP90" s="84" t="str">
        <f t="shared" si="2"/>
        <v/>
      </c>
      <c r="AQ90" s="9"/>
      <c r="AR90" s="9"/>
      <c r="AS90" s="8"/>
      <c r="AT90" s="9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8"/>
      <c r="BX90" s="9"/>
      <c r="BY90" s="9"/>
      <c r="BZ90" s="9"/>
      <c r="CA90" s="33"/>
      <c r="CB90" s="85" t="str">
        <f t="shared" si="3"/>
        <v/>
      </c>
      <c r="CC90" s="86" t="str">
        <f t="shared" si="4"/>
        <v/>
      </c>
      <c r="CD90" s="86" t="str">
        <f t="shared" si="5"/>
        <v/>
      </c>
      <c r="CE90" s="86" t="str">
        <f t="shared" si="6"/>
        <v/>
      </c>
      <c r="CF90" s="86" t="str">
        <f t="shared" si="7"/>
        <v/>
      </c>
      <c r="CG90" s="86" t="str">
        <f t="shared" si="8"/>
        <v/>
      </c>
      <c r="CH90" s="86" t="str">
        <f t="shared" si="9"/>
        <v/>
      </c>
      <c r="CI90" s="86" t="str">
        <f t="shared" si="10"/>
        <v/>
      </c>
      <c r="CJ90" s="86" t="str">
        <f t="shared" si="11"/>
        <v/>
      </c>
      <c r="CK90" s="86" t="str">
        <f t="shared" si="12"/>
        <v/>
      </c>
      <c r="CL90" s="86" t="str">
        <f t="shared" si="13"/>
        <v/>
      </c>
      <c r="CM90" s="87" t="str">
        <f t="shared" si="14"/>
        <v/>
      </c>
      <c r="CN90" s="88" t="str">
        <f t="shared" si="26"/>
        <v/>
      </c>
      <c r="CO90" s="88" t="str">
        <f t="shared" si="15"/>
        <v/>
      </c>
      <c r="CP90" s="88" t="str">
        <f t="shared" si="16"/>
        <v/>
      </c>
      <c r="CQ90" s="88" t="str">
        <f t="shared" si="17"/>
        <v/>
      </c>
      <c r="CR90" s="88" t="str">
        <f t="shared" si="18"/>
        <v/>
      </c>
      <c r="CS90" s="88" t="str">
        <f t="shared" si="19"/>
        <v/>
      </c>
      <c r="CT90" s="88" t="str">
        <f t="shared" si="20"/>
        <v/>
      </c>
      <c r="CU90" s="88" t="str">
        <f t="shared" si="21"/>
        <v/>
      </c>
      <c r="CV90" s="88" t="str">
        <f t="shared" si="22"/>
        <v/>
      </c>
      <c r="CW90" s="88" t="str">
        <f t="shared" si="23"/>
        <v/>
      </c>
      <c r="CX90" s="7"/>
      <c r="CY90" s="7"/>
      <c r="CZ90" s="7"/>
      <c r="DA90" s="8"/>
      <c r="DU90" s="104" t="str">
        <f t="shared" si="24"/>
        <v/>
      </c>
      <c r="DV90" s="104" t="str">
        <f>ABA!$A90</f>
        <v/>
      </c>
      <c r="DW90" s="98" t="str">
        <f t="shared" si="25"/>
        <v/>
      </c>
    </row>
    <row r="91" ht="15.75" customHeight="1">
      <c r="A91" s="78"/>
      <c r="B91" s="105"/>
      <c r="C91" s="82"/>
      <c r="D91" s="82"/>
      <c r="E91" s="83"/>
      <c r="F91" s="82"/>
      <c r="G91" s="82"/>
      <c r="H91" s="82"/>
      <c r="I91" s="83"/>
      <c r="J91" s="82"/>
      <c r="K91" s="82"/>
      <c r="L91" s="82"/>
      <c r="M91" s="83"/>
      <c r="N91" s="82"/>
      <c r="O91" s="82"/>
      <c r="P91" s="82"/>
      <c r="Q91" s="83"/>
      <c r="R91" s="82"/>
      <c r="S91" s="82"/>
      <c r="T91" s="82"/>
      <c r="U91" s="83"/>
      <c r="V91" s="82"/>
      <c r="W91" s="82"/>
      <c r="X91" s="82"/>
      <c r="Y91" s="83"/>
      <c r="Z91" s="82"/>
      <c r="AA91" s="82"/>
      <c r="AB91" s="82"/>
      <c r="AC91" s="83"/>
      <c r="AD91" s="82"/>
      <c r="AE91" s="82"/>
      <c r="AF91" s="82"/>
      <c r="AG91" s="83"/>
      <c r="AH91" s="82"/>
      <c r="AI91" s="82"/>
      <c r="AJ91" s="82"/>
      <c r="AK91" s="83"/>
      <c r="AL91" s="82"/>
      <c r="AM91" s="82"/>
      <c r="AN91" s="82"/>
      <c r="AO91" s="82"/>
      <c r="AP91" s="84" t="str">
        <f t="shared" si="2"/>
        <v/>
      </c>
      <c r="AQ91" s="9"/>
      <c r="AR91" s="9"/>
      <c r="AS91" s="8"/>
      <c r="AT91" s="9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8"/>
      <c r="BX91" s="9"/>
      <c r="BY91" s="9"/>
      <c r="BZ91" s="9"/>
      <c r="CA91" s="33"/>
      <c r="CB91" s="85" t="str">
        <f t="shared" si="3"/>
        <v/>
      </c>
      <c r="CC91" s="86" t="str">
        <f t="shared" si="4"/>
        <v/>
      </c>
      <c r="CD91" s="86" t="str">
        <f t="shared" si="5"/>
        <v/>
      </c>
      <c r="CE91" s="86" t="str">
        <f t="shared" si="6"/>
        <v/>
      </c>
      <c r="CF91" s="86" t="str">
        <f t="shared" si="7"/>
        <v/>
      </c>
      <c r="CG91" s="86" t="str">
        <f t="shared" si="8"/>
        <v/>
      </c>
      <c r="CH91" s="86" t="str">
        <f t="shared" si="9"/>
        <v/>
      </c>
      <c r="CI91" s="86" t="str">
        <f t="shared" si="10"/>
        <v/>
      </c>
      <c r="CJ91" s="86" t="str">
        <f t="shared" si="11"/>
        <v/>
      </c>
      <c r="CK91" s="86" t="str">
        <f t="shared" si="12"/>
        <v/>
      </c>
      <c r="CL91" s="86" t="str">
        <f t="shared" si="13"/>
        <v/>
      </c>
      <c r="CM91" s="87" t="str">
        <f t="shared" si="14"/>
        <v/>
      </c>
      <c r="CN91" s="88" t="str">
        <f t="shared" si="26"/>
        <v/>
      </c>
      <c r="CO91" s="88" t="str">
        <f t="shared" si="15"/>
        <v/>
      </c>
      <c r="CP91" s="88" t="str">
        <f t="shared" si="16"/>
        <v/>
      </c>
      <c r="CQ91" s="88" t="str">
        <f t="shared" si="17"/>
        <v/>
      </c>
      <c r="CR91" s="88" t="str">
        <f t="shared" si="18"/>
        <v/>
      </c>
      <c r="CS91" s="88" t="str">
        <f t="shared" si="19"/>
        <v/>
      </c>
      <c r="CT91" s="88" t="str">
        <f t="shared" si="20"/>
        <v/>
      </c>
      <c r="CU91" s="88" t="str">
        <f t="shared" si="21"/>
        <v/>
      </c>
      <c r="CV91" s="88" t="str">
        <f t="shared" si="22"/>
        <v/>
      </c>
      <c r="CW91" s="88" t="str">
        <f t="shared" si="23"/>
        <v/>
      </c>
      <c r="CX91" s="7"/>
      <c r="CY91" s="7"/>
      <c r="CZ91" s="7"/>
      <c r="DA91" s="8"/>
      <c r="DU91" s="93" t="str">
        <f t="shared" si="24"/>
        <v/>
      </c>
      <c r="DV91" s="93" t="str">
        <f>ABA!$A91</f>
        <v/>
      </c>
      <c r="DW91" s="82" t="str">
        <f t="shared" si="25"/>
        <v/>
      </c>
    </row>
    <row r="92" ht="15.75" customHeight="1">
      <c r="A92" s="85"/>
      <c r="B92" s="107"/>
      <c r="C92" s="98"/>
      <c r="D92" s="98"/>
      <c r="E92" s="99"/>
      <c r="F92" s="98"/>
      <c r="G92" s="98"/>
      <c r="H92" s="98"/>
      <c r="I92" s="99"/>
      <c r="J92" s="98"/>
      <c r="K92" s="98"/>
      <c r="L92" s="98"/>
      <c r="M92" s="99"/>
      <c r="N92" s="98"/>
      <c r="O92" s="98"/>
      <c r="P92" s="98"/>
      <c r="Q92" s="99"/>
      <c r="R92" s="98"/>
      <c r="S92" s="98"/>
      <c r="T92" s="98"/>
      <c r="U92" s="99"/>
      <c r="V92" s="98"/>
      <c r="W92" s="98"/>
      <c r="X92" s="98"/>
      <c r="Y92" s="100"/>
      <c r="Z92" s="98"/>
      <c r="AA92" s="98"/>
      <c r="AB92" s="98"/>
      <c r="AC92" s="99"/>
      <c r="AD92" s="98"/>
      <c r="AE92" s="98"/>
      <c r="AF92" s="98"/>
      <c r="AG92" s="99"/>
      <c r="AH92" s="98"/>
      <c r="AI92" s="98"/>
      <c r="AJ92" s="98"/>
      <c r="AK92" s="99"/>
      <c r="AL92" s="98"/>
      <c r="AM92" s="98"/>
      <c r="AN92" s="98"/>
      <c r="AO92" s="98"/>
      <c r="AP92" s="84" t="str">
        <f t="shared" si="2"/>
        <v/>
      </c>
      <c r="AQ92" s="9"/>
      <c r="AR92" s="9"/>
      <c r="AS92" s="8"/>
      <c r="AT92" s="9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8"/>
      <c r="BX92" s="9"/>
      <c r="BY92" s="9"/>
      <c r="BZ92" s="9"/>
      <c r="CA92" s="33"/>
      <c r="CB92" s="85" t="str">
        <f t="shared" si="3"/>
        <v/>
      </c>
      <c r="CC92" s="86" t="str">
        <f t="shared" si="4"/>
        <v/>
      </c>
      <c r="CD92" s="86" t="str">
        <f t="shared" si="5"/>
        <v/>
      </c>
      <c r="CE92" s="86" t="str">
        <f t="shared" si="6"/>
        <v/>
      </c>
      <c r="CF92" s="86" t="str">
        <f t="shared" si="7"/>
        <v/>
      </c>
      <c r="CG92" s="86" t="str">
        <f t="shared" si="8"/>
        <v/>
      </c>
      <c r="CH92" s="86" t="str">
        <f t="shared" si="9"/>
        <v/>
      </c>
      <c r="CI92" s="86" t="str">
        <f t="shared" si="10"/>
        <v/>
      </c>
      <c r="CJ92" s="86" t="str">
        <f t="shared" si="11"/>
        <v/>
      </c>
      <c r="CK92" s="86" t="str">
        <f t="shared" si="12"/>
        <v/>
      </c>
      <c r="CL92" s="86" t="str">
        <f t="shared" si="13"/>
        <v/>
      </c>
      <c r="CM92" s="87" t="str">
        <f t="shared" si="14"/>
        <v/>
      </c>
      <c r="CN92" s="88" t="str">
        <f t="shared" si="26"/>
        <v/>
      </c>
      <c r="CO92" s="88" t="str">
        <f t="shared" si="15"/>
        <v/>
      </c>
      <c r="CP92" s="88" t="str">
        <f t="shared" si="16"/>
        <v/>
      </c>
      <c r="CQ92" s="88" t="str">
        <f t="shared" si="17"/>
        <v/>
      </c>
      <c r="CR92" s="88" t="str">
        <f t="shared" si="18"/>
        <v/>
      </c>
      <c r="CS92" s="88" t="str">
        <f t="shared" si="19"/>
        <v/>
      </c>
      <c r="CT92" s="88" t="str">
        <f t="shared" si="20"/>
        <v/>
      </c>
      <c r="CU92" s="88" t="str">
        <f t="shared" si="21"/>
        <v/>
      </c>
      <c r="CV92" s="88" t="str">
        <f t="shared" si="22"/>
        <v/>
      </c>
      <c r="CW92" s="88" t="str">
        <f t="shared" si="23"/>
        <v/>
      </c>
      <c r="CX92" s="7"/>
      <c r="CY92" s="7"/>
      <c r="CZ92" s="7"/>
      <c r="DA92" s="8"/>
      <c r="DU92" s="104" t="str">
        <f t="shared" si="24"/>
        <v/>
      </c>
      <c r="DV92" s="104" t="str">
        <f>ABA!$A92</f>
        <v/>
      </c>
      <c r="DW92" s="98" t="str">
        <f t="shared" si="25"/>
        <v/>
      </c>
    </row>
    <row r="93" ht="15.75" customHeight="1">
      <c r="A93" s="78"/>
      <c r="B93" s="105"/>
      <c r="C93" s="82"/>
      <c r="D93" s="82"/>
      <c r="E93" s="83"/>
      <c r="F93" s="82"/>
      <c r="G93" s="82"/>
      <c r="H93" s="82"/>
      <c r="I93" s="83"/>
      <c r="J93" s="82"/>
      <c r="K93" s="82"/>
      <c r="L93" s="82"/>
      <c r="M93" s="83"/>
      <c r="N93" s="82"/>
      <c r="O93" s="82"/>
      <c r="P93" s="82"/>
      <c r="Q93" s="83"/>
      <c r="R93" s="82"/>
      <c r="S93" s="82"/>
      <c r="T93" s="82"/>
      <c r="U93" s="83"/>
      <c r="V93" s="82"/>
      <c r="W93" s="82"/>
      <c r="X93" s="82"/>
      <c r="Y93" s="83"/>
      <c r="Z93" s="82"/>
      <c r="AA93" s="82"/>
      <c r="AB93" s="82"/>
      <c r="AC93" s="83"/>
      <c r="AD93" s="82"/>
      <c r="AE93" s="82"/>
      <c r="AF93" s="82"/>
      <c r="AG93" s="83"/>
      <c r="AH93" s="82"/>
      <c r="AI93" s="82"/>
      <c r="AJ93" s="82"/>
      <c r="AK93" s="83"/>
      <c r="AL93" s="82"/>
      <c r="AM93" s="82"/>
      <c r="AN93" s="82"/>
      <c r="AO93" s="82"/>
      <c r="AP93" s="84" t="str">
        <f t="shared" si="2"/>
        <v/>
      </c>
      <c r="AQ93" s="9"/>
      <c r="AR93" s="9"/>
      <c r="AS93" s="8"/>
      <c r="AT93" s="9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8"/>
      <c r="BX93" s="9"/>
      <c r="BY93" s="9"/>
      <c r="BZ93" s="9"/>
      <c r="CA93" s="33"/>
      <c r="CB93" s="85" t="str">
        <f t="shared" si="3"/>
        <v/>
      </c>
      <c r="CC93" s="86" t="str">
        <f t="shared" si="4"/>
        <v/>
      </c>
      <c r="CD93" s="86" t="str">
        <f t="shared" si="5"/>
        <v/>
      </c>
      <c r="CE93" s="86" t="str">
        <f t="shared" si="6"/>
        <v/>
      </c>
      <c r="CF93" s="86" t="str">
        <f t="shared" si="7"/>
        <v/>
      </c>
      <c r="CG93" s="86" t="str">
        <f t="shared" si="8"/>
        <v/>
      </c>
      <c r="CH93" s="86" t="str">
        <f t="shared" si="9"/>
        <v/>
      </c>
      <c r="CI93" s="86" t="str">
        <f t="shared" si="10"/>
        <v/>
      </c>
      <c r="CJ93" s="86" t="str">
        <f t="shared" si="11"/>
        <v/>
      </c>
      <c r="CK93" s="86" t="str">
        <f t="shared" si="12"/>
        <v/>
      </c>
      <c r="CL93" s="86" t="str">
        <f t="shared" si="13"/>
        <v/>
      </c>
      <c r="CM93" s="87" t="str">
        <f t="shared" si="14"/>
        <v/>
      </c>
      <c r="CN93" s="88" t="str">
        <f t="shared" si="26"/>
        <v/>
      </c>
      <c r="CO93" s="88" t="str">
        <f t="shared" si="15"/>
        <v/>
      </c>
      <c r="CP93" s="88" t="str">
        <f t="shared" si="16"/>
        <v/>
      </c>
      <c r="CQ93" s="88" t="str">
        <f t="shared" si="17"/>
        <v/>
      </c>
      <c r="CR93" s="88" t="str">
        <f t="shared" si="18"/>
        <v/>
      </c>
      <c r="CS93" s="88" t="str">
        <f t="shared" si="19"/>
        <v/>
      </c>
      <c r="CT93" s="88" t="str">
        <f t="shared" si="20"/>
        <v/>
      </c>
      <c r="CU93" s="88" t="str">
        <f t="shared" si="21"/>
        <v/>
      </c>
      <c r="CV93" s="88" t="str">
        <f t="shared" si="22"/>
        <v/>
      </c>
      <c r="CW93" s="88" t="str">
        <f t="shared" si="23"/>
        <v/>
      </c>
      <c r="CX93" s="7"/>
      <c r="CY93" s="7"/>
      <c r="CZ93" s="7"/>
      <c r="DA93" s="8"/>
      <c r="DU93" s="93" t="str">
        <f t="shared" si="24"/>
        <v/>
      </c>
      <c r="DV93" s="93" t="str">
        <f>ABA!$A93</f>
        <v/>
      </c>
      <c r="DW93" s="82" t="str">
        <f t="shared" si="25"/>
        <v/>
      </c>
    </row>
    <row r="94" ht="15.75" customHeight="1">
      <c r="A94" s="85"/>
      <c r="B94" s="107"/>
      <c r="C94" s="98"/>
      <c r="D94" s="98"/>
      <c r="E94" s="99"/>
      <c r="F94" s="98"/>
      <c r="G94" s="98"/>
      <c r="H94" s="98"/>
      <c r="I94" s="99"/>
      <c r="J94" s="98"/>
      <c r="K94" s="98"/>
      <c r="L94" s="98"/>
      <c r="M94" s="99"/>
      <c r="N94" s="98"/>
      <c r="O94" s="98"/>
      <c r="P94" s="98"/>
      <c r="Q94" s="99"/>
      <c r="R94" s="98"/>
      <c r="S94" s="98"/>
      <c r="T94" s="98"/>
      <c r="U94" s="99"/>
      <c r="V94" s="98"/>
      <c r="W94" s="98"/>
      <c r="X94" s="98"/>
      <c r="Y94" s="100"/>
      <c r="Z94" s="98"/>
      <c r="AA94" s="98"/>
      <c r="AB94" s="98"/>
      <c r="AC94" s="99"/>
      <c r="AD94" s="98"/>
      <c r="AE94" s="98"/>
      <c r="AF94" s="98"/>
      <c r="AG94" s="99"/>
      <c r="AH94" s="98"/>
      <c r="AI94" s="98"/>
      <c r="AJ94" s="98"/>
      <c r="AK94" s="99"/>
      <c r="AL94" s="98"/>
      <c r="AM94" s="98"/>
      <c r="AN94" s="98"/>
      <c r="AO94" s="98"/>
      <c r="AP94" s="84" t="str">
        <f t="shared" si="2"/>
        <v/>
      </c>
      <c r="AQ94" s="9"/>
      <c r="AR94" s="9"/>
      <c r="AS94" s="8"/>
      <c r="AT94" s="9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8"/>
      <c r="BX94" s="9"/>
      <c r="BY94" s="9"/>
      <c r="BZ94" s="9"/>
      <c r="CA94" s="33"/>
      <c r="CB94" s="85" t="str">
        <f t="shared" si="3"/>
        <v/>
      </c>
      <c r="CC94" s="86" t="str">
        <f t="shared" si="4"/>
        <v/>
      </c>
      <c r="CD94" s="86" t="str">
        <f t="shared" si="5"/>
        <v/>
      </c>
      <c r="CE94" s="86" t="str">
        <f t="shared" si="6"/>
        <v/>
      </c>
      <c r="CF94" s="86" t="str">
        <f t="shared" si="7"/>
        <v/>
      </c>
      <c r="CG94" s="86" t="str">
        <f t="shared" si="8"/>
        <v/>
      </c>
      <c r="CH94" s="86" t="str">
        <f t="shared" si="9"/>
        <v/>
      </c>
      <c r="CI94" s="86" t="str">
        <f t="shared" si="10"/>
        <v/>
      </c>
      <c r="CJ94" s="86" t="str">
        <f t="shared" si="11"/>
        <v/>
      </c>
      <c r="CK94" s="86" t="str">
        <f t="shared" si="12"/>
        <v/>
      </c>
      <c r="CL94" s="86" t="str">
        <f t="shared" si="13"/>
        <v/>
      </c>
      <c r="CM94" s="87" t="str">
        <f t="shared" si="14"/>
        <v/>
      </c>
      <c r="CN94" s="88" t="str">
        <f t="shared" si="26"/>
        <v/>
      </c>
      <c r="CO94" s="88" t="str">
        <f t="shared" si="15"/>
        <v/>
      </c>
      <c r="CP94" s="88" t="str">
        <f t="shared" si="16"/>
        <v/>
      </c>
      <c r="CQ94" s="88" t="str">
        <f t="shared" si="17"/>
        <v/>
      </c>
      <c r="CR94" s="88" t="str">
        <f t="shared" si="18"/>
        <v/>
      </c>
      <c r="CS94" s="88" t="str">
        <f t="shared" si="19"/>
        <v/>
      </c>
      <c r="CT94" s="88" t="str">
        <f t="shared" si="20"/>
        <v/>
      </c>
      <c r="CU94" s="88" t="str">
        <f t="shared" si="21"/>
        <v/>
      </c>
      <c r="CV94" s="88" t="str">
        <f t="shared" si="22"/>
        <v/>
      </c>
      <c r="CW94" s="88" t="str">
        <f t="shared" si="23"/>
        <v/>
      </c>
      <c r="CX94" s="7"/>
      <c r="CY94" s="7"/>
      <c r="CZ94" s="7"/>
      <c r="DA94" s="8"/>
      <c r="DU94" s="93" t="str">
        <f t="shared" si="24"/>
        <v/>
      </c>
      <c r="DV94" s="104" t="str">
        <f>ABA!$A94</f>
        <v/>
      </c>
      <c r="DW94" s="98" t="str">
        <f t="shared" si="25"/>
        <v/>
      </c>
    </row>
    <row r="95" ht="15.75" customHeight="1">
      <c r="A95" s="78"/>
      <c r="B95" s="105"/>
      <c r="C95" s="82"/>
      <c r="D95" s="82"/>
      <c r="E95" s="83"/>
      <c r="F95" s="82"/>
      <c r="G95" s="82"/>
      <c r="H95" s="82"/>
      <c r="I95" s="83"/>
      <c r="J95" s="82"/>
      <c r="K95" s="82"/>
      <c r="L95" s="82"/>
      <c r="M95" s="83"/>
      <c r="N95" s="82"/>
      <c r="O95" s="82"/>
      <c r="P95" s="82"/>
      <c r="Q95" s="83"/>
      <c r="R95" s="82"/>
      <c r="S95" s="82"/>
      <c r="T95" s="82"/>
      <c r="U95" s="83"/>
      <c r="V95" s="82"/>
      <c r="W95" s="82"/>
      <c r="X95" s="82"/>
      <c r="Y95" s="83"/>
      <c r="Z95" s="82"/>
      <c r="AA95" s="82"/>
      <c r="AB95" s="82"/>
      <c r="AC95" s="83"/>
      <c r="AD95" s="82"/>
      <c r="AE95" s="82"/>
      <c r="AF95" s="82"/>
      <c r="AG95" s="83"/>
      <c r="AH95" s="82"/>
      <c r="AI95" s="82"/>
      <c r="AJ95" s="82"/>
      <c r="AK95" s="83"/>
      <c r="AL95" s="82"/>
      <c r="AM95" s="82"/>
      <c r="AN95" s="82"/>
      <c r="AO95" s="82"/>
      <c r="AP95" s="84" t="str">
        <f t="shared" si="2"/>
        <v/>
      </c>
      <c r="AQ95" s="9"/>
      <c r="AR95" s="9"/>
      <c r="AS95" s="8"/>
      <c r="AT95" s="9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8"/>
      <c r="BX95" s="9"/>
      <c r="BY95" s="9"/>
      <c r="BZ95" s="9"/>
      <c r="CA95" s="33"/>
      <c r="CB95" s="85" t="str">
        <f t="shared" si="3"/>
        <v/>
      </c>
      <c r="CC95" s="86" t="str">
        <f t="shared" si="4"/>
        <v/>
      </c>
      <c r="CD95" s="86" t="str">
        <f t="shared" si="5"/>
        <v/>
      </c>
      <c r="CE95" s="86" t="str">
        <f t="shared" si="6"/>
        <v/>
      </c>
      <c r="CF95" s="86" t="str">
        <f t="shared" si="7"/>
        <v/>
      </c>
      <c r="CG95" s="86" t="str">
        <f t="shared" si="8"/>
        <v/>
      </c>
      <c r="CH95" s="86" t="str">
        <f t="shared" si="9"/>
        <v/>
      </c>
      <c r="CI95" s="86" t="str">
        <f t="shared" si="10"/>
        <v/>
      </c>
      <c r="CJ95" s="86" t="str">
        <f t="shared" si="11"/>
        <v/>
      </c>
      <c r="CK95" s="86" t="str">
        <f t="shared" si="12"/>
        <v/>
      </c>
      <c r="CL95" s="86" t="str">
        <f t="shared" si="13"/>
        <v/>
      </c>
      <c r="CM95" s="87" t="str">
        <f t="shared" si="14"/>
        <v/>
      </c>
      <c r="CN95" s="88" t="str">
        <f t="shared" si="26"/>
        <v/>
      </c>
      <c r="CO95" s="88" t="str">
        <f t="shared" si="15"/>
        <v/>
      </c>
      <c r="CP95" s="88" t="str">
        <f t="shared" si="16"/>
        <v/>
      </c>
      <c r="CQ95" s="88" t="str">
        <f t="shared" si="17"/>
        <v/>
      </c>
      <c r="CR95" s="88" t="str">
        <f t="shared" si="18"/>
        <v/>
      </c>
      <c r="CS95" s="88" t="str">
        <f t="shared" si="19"/>
        <v/>
      </c>
      <c r="CT95" s="88" t="str">
        <f t="shared" si="20"/>
        <v/>
      </c>
      <c r="CU95" s="88" t="str">
        <f t="shared" si="21"/>
        <v/>
      </c>
      <c r="CV95" s="88" t="str">
        <f t="shared" si="22"/>
        <v/>
      </c>
      <c r="CW95" s="88" t="str">
        <f t="shared" si="23"/>
        <v/>
      </c>
      <c r="CX95" s="7"/>
      <c r="CY95" s="7"/>
      <c r="CZ95" s="7"/>
      <c r="DA95" s="8"/>
      <c r="DU95" s="104" t="str">
        <f t="shared" si="24"/>
        <v/>
      </c>
      <c r="DV95" s="93" t="str">
        <f>ABA!$A95</f>
        <v/>
      </c>
      <c r="DW95" s="82" t="str">
        <f t="shared" si="25"/>
        <v/>
      </c>
    </row>
    <row r="96" ht="15.75" customHeight="1">
      <c r="A96" s="85"/>
      <c r="B96" s="107"/>
      <c r="C96" s="98"/>
      <c r="D96" s="98"/>
      <c r="E96" s="99"/>
      <c r="F96" s="98"/>
      <c r="G96" s="98"/>
      <c r="H96" s="98"/>
      <c r="I96" s="99"/>
      <c r="J96" s="98"/>
      <c r="K96" s="98"/>
      <c r="L96" s="98"/>
      <c r="M96" s="99"/>
      <c r="N96" s="98"/>
      <c r="O96" s="98"/>
      <c r="P96" s="98"/>
      <c r="Q96" s="99"/>
      <c r="R96" s="98"/>
      <c r="S96" s="98"/>
      <c r="T96" s="98"/>
      <c r="U96" s="99"/>
      <c r="V96" s="98"/>
      <c r="W96" s="98"/>
      <c r="X96" s="98"/>
      <c r="Y96" s="100"/>
      <c r="Z96" s="98"/>
      <c r="AA96" s="98"/>
      <c r="AB96" s="98"/>
      <c r="AC96" s="99"/>
      <c r="AD96" s="98"/>
      <c r="AE96" s="98"/>
      <c r="AF96" s="98"/>
      <c r="AG96" s="99"/>
      <c r="AH96" s="98"/>
      <c r="AI96" s="98"/>
      <c r="AJ96" s="98"/>
      <c r="AK96" s="99"/>
      <c r="AL96" s="98"/>
      <c r="AM96" s="98"/>
      <c r="AN96" s="98"/>
      <c r="AO96" s="98"/>
      <c r="AP96" s="84" t="str">
        <f t="shared" si="2"/>
        <v/>
      </c>
      <c r="AQ96" s="9"/>
      <c r="AR96" s="9"/>
      <c r="AS96" s="8"/>
      <c r="AT96" s="9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8"/>
      <c r="BX96" s="9"/>
      <c r="BY96" s="9"/>
      <c r="BZ96" s="9"/>
      <c r="CA96" s="33"/>
      <c r="CB96" s="85" t="str">
        <f t="shared" si="3"/>
        <v/>
      </c>
      <c r="CC96" s="86" t="str">
        <f t="shared" si="4"/>
        <v/>
      </c>
      <c r="CD96" s="86" t="str">
        <f t="shared" si="5"/>
        <v/>
      </c>
      <c r="CE96" s="86" t="str">
        <f t="shared" si="6"/>
        <v/>
      </c>
      <c r="CF96" s="86" t="str">
        <f t="shared" si="7"/>
        <v/>
      </c>
      <c r="CG96" s="86" t="str">
        <f t="shared" si="8"/>
        <v/>
      </c>
      <c r="CH96" s="86" t="str">
        <f t="shared" si="9"/>
        <v/>
      </c>
      <c r="CI96" s="86" t="str">
        <f t="shared" si="10"/>
        <v/>
      </c>
      <c r="CJ96" s="86" t="str">
        <f t="shared" si="11"/>
        <v/>
      </c>
      <c r="CK96" s="86" t="str">
        <f t="shared" si="12"/>
        <v/>
      </c>
      <c r="CL96" s="86" t="str">
        <f t="shared" si="13"/>
        <v/>
      </c>
      <c r="CM96" s="87" t="str">
        <f t="shared" si="14"/>
        <v/>
      </c>
      <c r="CN96" s="88" t="str">
        <f t="shared" si="26"/>
        <v/>
      </c>
      <c r="CO96" s="88" t="str">
        <f t="shared" si="15"/>
        <v/>
      </c>
      <c r="CP96" s="88" t="str">
        <f t="shared" si="16"/>
        <v/>
      </c>
      <c r="CQ96" s="88" t="str">
        <f t="shared" si="17"/>
        <v/>
      </c>
      <c r="CR96" s="88" t="str">
        <f t="shared" si="18"/>
        <v/>
      </c>
      <c r="CS96" s="88" t="str">
        <f t="shared" si="19"/>
        <v/>
      </c>
      <c r="CT96" s="88" t="str">
        <f t="shared" si="20"/>
        <v/>
      </c>
      <c r="CU96" s="88" t="str">
        <f t="shared" si="21"/>
        <v/>
      </c>
      <c r="CV96" s="88" t="str">
        <f t="shared" si="22"/>
        <v/>
      </c>
      <c r="CW96" s="88" t="str">
        <f t="shared" si="23"/>
        <v/>
      </c>
      <c r="CX96" s="7"/>
      <c r="CY96" s="7"/>
      <c r="CZ96" s="7"/>
      <c r="DA96" s="8"/>
      <c r="DU96" s="93" t="str">
        <f t="shared" si="24"/>
        <v/>
      </c>
      <c r="DV96" s="104" t="str">
        <f>ABA!$A96</f>
        <v/>
      </c>
      <c r="DW96" s="98" t="str">
        <f t="shared" si="25"/>
        <v/>
      </c>
    </row>
    <row r="97" ht="15.75" customHeight="1">
      <c r="A97" s="78"/>
      <c r="B97" s="105"/>
      <c r="C97" s="82"/>
      <c r="D97" s="82"/>
      <c r="E97" s="83"/>
      <c r="F97" s="82"/>
      <c r="G97" s="82"/>
      <c r="H97" s="82"/>
      <c r="I97" s="83"/>
      <c r="J97" s="82"/>
      <c r="K97" s="82"/>
      <c r="L97" s="82"/>
      <c r="M97" s="83"/>
      <c r="N97" s="82"/>
      <c r="O97" s="82"/>
      <c r="P97" s="82"/>
      <c r="Q97" s="83"/>
      <c r="R97" s="82"/>
      <c r="S97" s="82"/>
      <c r="T97" s="82"/>
      <c r="U97" s="83"/>
      <c r="V97" s="82"/>
      <c r="W97" s="82"/>
      <c r="X97" s="82"/>
      <c r="Y97" s="83"/>
      <c r="Z97" s="82"/>
      <c r="AA97" s="82"/>
      <c r="AB97" s="82"/>
      <c r="AC97" s="83"/>
      <c r="AD97" s="82"/>
      <c r="AE97" s="82"/>
      <c r="AF97" s="82"/>
      <c r="AG97" s="83"/>
      <c r="AH97" s="82"/>
      <c r="AI97" s="82"/>
      <c r="AJ97" s="82"/>
      <c r="AK97" s="83"/>
      <c r="AL97" s="82"/>
      <c r="AM97" s="82"/>
      <c r="AN97" s="82"/>
      <c r="AO97" s="82"/>
      <c r="AP97" s="84" t="str">
        <f t="shared" si="2"/>
        <v/>
      </c>
      <c r="AQ97" s="9"/>
      <c r="AR97" s="9"/>
      <c r="AS97" s="8"/>
      <c r="AT97" s="9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8"/>
      <c r="BX97" s="9"/>
      <c r="BY97" s="9"/>
      <c r="BZ97" s="9"/>
      <c r="CA97" s="33"/>
      <c r="CB97" s="85" t="str">
        <f t="shared" si="3"/>
        <v/>
      </c>
      <c r="CC97" s="86" t="str">
        <f t="shared" si="4"/>
        <v/>
      </c>
      <c r="CD97" s="86" t="str">
        <f t="shared" si="5"/>
        <v/>
      </c>
      <c r="CE97" s="86" t="str">
        <f t="shared" si="6"/>
        <v/>
      </c>
      <c r="CF97" s="86" t="str">
        <f t="shared" si="7"/>
        <v/>
      </c>
      <c r="CG97" s="86" t="str">
        <f t="shared" si="8"/>
        <v/>
      </c>
      <c r="CH97" s="86" t="str">
        <f t="shared" si="9"/>
        <v/>
      </c>
      <c r="CI97" s="86" t="str">
        <f t="shared" si="10"/>
        <v/>
      </c>
      <c r="CJ97" s="86" t="str">
        <f t="shared" si="11"/>
        <v/>
      </c>
      <c r="CK97" s="86" t="str">
        <f t="shared" si="12"/>
        <v/>
      </c>
      <c r="CL97" s="86" t="str">
        <f t="shared" si="13"/>
        <v/>
      </c>
      <c r="CM97" s="87" t="str">
        <f t="shared" si="14"/>
        <v/>
      </c>
      <c r="CN97" s="88" t="str">
        <f t="shared" si="26"/>
        <v/>
      </c>
      <c r="CO97" s="88" t="str">
        <f t="shared" si="15"/>
        <v/>
      </c>
      <c r="CP97" s="88" t="str">
        <f t="shared" si="16"/>
        <v/>
      </c>
      <c r="CQ97" s="88" t="str">
        <f t="shared" si="17"/>
        <v/>
      </c>
      <c r="CR97" s="88" t="str">
        <f t="shared" si="18"/>
        <v/>
      </c>
      <c r="CS97" s="88" t="str">
        <f t="shared" si="19"/>
        <v/>
      </c>
      <c r="CT97" s="88" t="str">
        <f t="shared" si="20"/>
        <v/>
      </c>
      <c r="CU97" s="88" t="str">
        <f t="shared" si="21"/>
        <v/>
      </c>
      <c r="CV97" s="88" t="str">
        <f t="shared" si="22"/>
        <v/>
      </c>
      <c r="CW97" s="88" t="str">
        <f t="shared" si="23"/>
        <v/>
      </c>
      <c r="CX97" s="7"/>
      <c r="CY97" s="7"/>
      <c r="CZ97" s="7"/>
      <c r="DA97" s="8"/>
      <c r="DU97" s="104" t="str">
        <f t="shared" si="24"/>
        <v/>
      </c>
      <c r="DV97" s="93" t="str">
        <f>ABA!$A97</f>
        <v/>
      </c>
      <c r="DW97" s="82" t="str">
        <f t="shared" si="25"/>
        <v/>
      </c>
    </row>
    <row r="98" ht="15.75" customHeight="1">
      <c r="A98" s="85"/>
      <c r="B98" s="107"/>
      <c r="C98" s="98"/>
      <c r="D98" s="98"/>
      <c r="E98" s="99"/>
      <c r="F98" s="98"/>
      <c r="G98" s="98"/>
      <c r="H98" s="98"/>
      <c r="I98" s="99"/>
      <c r="J98" s="98"/>
      <c r="K98" s="98"/>
      <c r="L98" s="98"/>
      <c r="M98" s="99"/>
      <c r="N98" s="98"/>
      <c r="O98" s="98"/>
      <c r="P98" s="98"/>
      <c r="Q98" s="99"/>
      <c r="R98" s="98"/>
      <c r="S98" s="98"/>
      <c r="T98" s="98"/>
      <c r="U98" s="99"/>
      <c r="V98" s="98"/>
      <c r="W98" s="98"/>
      <c r="X98" s="98"/>
      <c r="Y98" s="100"/>
      <c r="Z98" s="98"/>
      <c r="AA98" s="98"/>
      <c r="AB98" s="98"/>
      <c r="AC98" s="99"/>
      <c r="AD98" s="98"/>
      <c r="AE98" s="98"/>
      <c r="AF98" s="98"/>
      <c r="AG98" s="99"/>
      <c r="AH98" s="98"/>
      <c r="AI98" s="98"/>
      <c r="AJ98" s="98"/>
      <c r="AK98" s="99"/>
      <c r="AL98" s="98"/>
      <c r="AM98" s="98"/>
      <c r="AN98" s="98"/>
      <c r="AO98" s="98"/>
      <c r="AP98" s="84" t="str">
        <f t="shared" si="2"/>
        <v/>
      </c>
      <c r="AQ98" s="9"/>
      <c r="AR98" s="9"/>
      <c r="AS98" s="8"/>
      <c r="AT98" s="9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8"/>
      <c r="BX98" s="9"/>
      <c r="BY98" s="9"/>
      <c r="BZ98" s="9"/>
      <c r="CA98" s="33"/>
      <c r="CB98" s="85" t="str">
        <f t="shared" si="3"/>
        <v/>
      </c>
      <c r="CC98" s="86" t="str">
        <f t="shared" si="4"/>
        <v/>
      </c>
      <c r="CD98" s="86" t="str">
        <f t="shared" si="5"/>
        <v/>
      </c>
      <c r="CE98" s="86" t="str">
        <f t="shared" si="6"/>
        <v/>
      </c>
      <c r="CF98" s="86" t="str">
        <f t="shared" si="7"/>
        <v/>
      </c>
      <c r="CG98" s="86" t="str">
        <f t="shared" si="8"/>
        <v/>
      </c>
      <c r="CH98" s="86" t="str">
        <f t="shared" si="9"/>
        <v/>
      </c>
      <c r="CI98" s="86" t="str">
        <f t="shared" si="10"/>
        <v/>
      </c>
      <c r="CJ98" s="86" t="str">
        <f t="shared" si="11"/>
        <v/>
      </c>
      <c r="CK98" s="86" t="str">
        <f t="shared" si="12"/>
        <v/>
      </c>
      <c r="CL98" s="86" t="str">
        <f t="shared" si="13"/>
        <v/>
      </c>
      <c r="CM98" s="87" t="str">
        <f t="shared" si="14"/>
        <v/>
      </c>
      <c r="CN98" s="88" t="str">
        <f t="shared" si="26"/>
        <v/>
      </c>
      <c r="CO98" s="88" t="str">
        <f t="shared" si="15"/>
        <v/>
      </c>
      <c r="CP98" s="88" t="str">
        <f t="shared" si="16"/>
        <v/>
      </c>
      <c r="CQ98" s="88" t="str">
        <f t="shared" si="17"/>
        <v/>
      </c>
      <c r="CR98" s="88" t="str">
        <f t="shared" si="18"/>
        <v/>
      </c>
      <c r="CS98" s="88" t="str">
        <f t="shared" si="19"/>
        <v/>
      </c>
      <c r="CT98" s="88" t="str">
        <f t="shared" si="20"/>
        <v/>
      </c>
      <c r="CU98" s="88" t="str">
        <f t="shared" si="21"/>
        <v/>
      </c>
      <c r="CV98" s="88" t="str">
        <f t="shared" si="22"/>
        <v/>
      </c>
      <c r="CW98" s="88" t="str">
        <f t="shared" si="23"/>
        <v/>
      </c>
      <c r="CX98" s="7"/>
      <c r="CY98" s="7"/>
      <c r="CZ98" s="7"/>
      <c r="DA98" s="8"/>
      <c r="DU98" s="93" t="str">
        <f t="shared" si="24"/>
        <v/>
      </c>
      <c r="DV98" s="104" t="str">
        <f>ABA!$A98</f>
        <v/>
      </c>
      <c r="DW98" s="98" t="str">
        <f t="shared" si="25"/>
        <v/>
      </c>
    </row>
    <row r="99" ht="15.75" customHeight="1">
      <c r="A99" s="78"/>
      <c r="B99" s="105"/>
      <c r="C99" s="82"/>
      <c r="D99" s="82"/>
      <c r="E99" s="83"/>
      <c r="F99" s="82"/>
      <c r="G99" s="82"/>
      <c r="H99" s="82"/>
      <c r="I99" s="83"/>
      <c r="J99" s="82"/>
      <c r="K99" s="82"/>
      <c r="L99" s="82"/>
      <c r="M99" s="83"/>
      <c r="N99" s="82"/>
      <c r="O99" s="82"/>
      <c r="P99" s="82"/>
      <c r="Q99" s="83"/>
      <c r="R99" s="82"/>
      <c r="S99" s="82"/>
      <c r="T99" s="82"/>
      <c r="U99" s="83"/>
      <c r="V99" s="82"/>
      <c r="W99" s="82"/>
      <c r="X99" s="82"/>
      <c r="Y99" s="83"/>
      <c r="Z99" s="82"/>
      <c r="AA99" s="82"/>
      <c r="AB99" s="82"/>
      <c r="AC99" s="83"/>
      <c r="AD99" s="82"/>
      <c r="AE99" s="82"/>
      <c r="AF99" s="82"/>
      <c r="AG99" s="83"/>
      <c r="AH99" s="82"/>
      <c r="AI99" s="82"/>
      <c r="AJ99" s="82"/>
      <c r="AK99" s="83"/>
      <c r="AL99" s="82"/>
      <c r="AM99" s="82"/>
      <c r="AN99" s="82"/>
      <c r="AO99" s="82"/>
      <c r="AP99" s="84" t="str">
        <f t="shared" si="2"/>
        <v/>
      </c>
      <c r="AQ99" s="9"/>
      <c r="AR99" s="9"/>
      <c r="AS99" s="8"/>
      <c r="AT99" s="9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8"/>
      <c r="BX99" s="9"/>
      <c r="BY99" s="9"/>
      <c r="BZ99" s="9"/>
      <c r="CA99" s="33"/>
      <c r="CB99" s="85" t="str">
        <f t="shared" si="3"/>
        <v/>
      </c>
      <c r="CC99" s="86" t="str">
        <f t="shared" si="4"/>
        <v/>
      </c>
      <c r="CD99" s="86" t="str">
        <f t="shared" si="5"/>
        <v/>
      </c>
      <c r="CE99" s="86" t="str">
        <f t="shared" si="6"/>
        <v/>
      </c>
      <c r="CF99" s="86" t="str">
        <f t="shared" si="7"/>
        <v/>
      </c>
      <c r="CG99" s="86" t="str">
        <f t="shared" si="8"/>
        <v/>
      </c>
      <c r="CH99" s="86" t="str">
        <f t="shared" si="9"/>
        <v/>
      </c>
      <c r="CI99" s="86" t="str">
        <f t="shared" si="10"/>
        <v/>
      </c>
      <c r="CJ99" s="86" t="str">
        <f t="shared" si="11"/>
        <v/>
      </c>
      <c r="CK99" s="86" t="str">
        <f t="shared" si="12"/>
        <v/>
      </c>
      <c r="CL99" s="86" t="str">
        <f t="shared" si="13"/>
        <v/>
      </c>
      <c r="CM99" s="87" t="str">
        <f t="shared" si="14"/>
        <v/>
      </c>
      <c r="CN99" s="88" t="str">
        <f t="shared" si="26"/>
        <v/>
      </c>
      <c r="CO99" s="88" t="str">
        <f t="shared" si="15"/>
        <v/>
      </c>
      <c r="CP99" s="88" t="str">
        <f t="shared" si="16"/>
        <v/>
      </c>
      <c r="CQ99" s="88" t="str">
        <f t="shared" si="17"/>
        <v/>
      </c>
      <c r="CR99" s="88" t="str">
        <f t="shared" si="18"/>
        <v/>
      </c>
      <c r="CS99" s="88" t="str">
        <f t="shared" si="19"/>
        <v/>
      </c>
      <c r="CT99" s="88" t="str">
        <f t="shared" si="20"/>
        <v/>
      </c>
      <c r="CU99" s="88" t="str">
        <f t="shared" si="21"/>
        <v/>
      </c>
      <c r="CV99" s="88" t="str">
        <f t="shared" si="22"/>
        <v/>
      </c>
      <c r="CW99" s="88" t="str">
        <f t="shared" si="23"/>
        <v/>
      </c>
      <c r="CX99" s="7"/>
      <c r="CY99" s="7"/>
      <c r="CZ99" s="7"/>
      <c r="DA99" s="8"/>
      <c r="DU99" s="104" t="str">
        <f t="shared" si="24"/>
        <v/>
      </c>
      <c r="DV99" s="93" t="str">
        <f>ABA!$A99</f>
        <v/>
      </c>
      <c r="DW99" s="82" t="str">
        <f t="shared" si="25"/>
        <v/>
      </c>
    </row>
    <row r="100" ht="15.75" customHeight="1">
      <c r="A100" s="85"/>
      <c r="B100" s="107"/>
      <c r="C100" s="98"/>
      <c r="D100" s="98"/>
      <c r="E100" s="99"/>
      <c r="F100" s="98"/>
      <c r="G100" s="98"/>
      <c r="H100" s="98"/>
      <c r="I100" s="99"/>
      <c r="J100" s="98"/>
      <c r="K100" s="98"/>
      <c r="L100" s="98"/>
      <c r="M100" s="99"/>
      <c r="N100" s="98"/>
      <c r="O100" s="98"/>
      <c r="P100" s="98"/>
      <c r="Q100" s="99"/>
      <c r="R100" s="98"/>
      <c r="S100" s="98"/>
      <c r="T100" s="98"/>
      <c r="U100" s="99"/>
      <c r="V100" s="98"/>
      <c r="W100" s="98"/>
      <c r="X100" s="98"/>
      <c r="Y100" s="100"/>
      <c r="Z100" s="98"/>
      <c r="AA100" s="98"/>
      <c r="AB100" s="98"/>
      <c r="AC100" s="99"/>
      <c r="AD100" s="98"/>
      <c r="AE100" s="98"/>
      <c r="AF100" s="98"/>
      <c r="AG100" s="99"/>
      <c r="AH100" s="98"/>
      <c r="AI100" s="98"/>
      <c r="AJ100" s="98"/>
      <c r="AK100" s="99"/>
      <c r="AL100" s="98"/>
      <c r="AM100" s="98"/>
      <c r="AN100" s="98"/>
      <c r="AO100" s="98"/>
      <c r="AP100" s="84" t="str">
        <f t="shared" si="2"/>
        <v/>
      </c>
      <c r="AQ100" s="9"/>
      <c r="AR100" s="9"/>
      <c r="AS100" s="8"/>
      <c r="AT100" s="9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8"/>
      <c r="BX100" s="9"/>
      <c r="BY100" s="9"/>
      <c r="BZ100" s="9"/>
      <c r="CA100" s="33"/>
      <c r="CB100" s="85" t="str">
        <f t="shared" si="3"/>
        <v/>
      </c>
      <c r="CC100" s="86" t="str">
        <f t="shared" si="4"/>
        <v/>
      </c>
      <c r="CD100" s="86" t="str">
        <f t="shared" si="5"/>
        <v/>
      </c>
      <c r="CE100" s="86" t="str">
        <f t="shared" si="6"/>
        <v/>
      </c>
      <c r="CF100" s="86" t="str">
        <f t="shared" si="7"/>
        <v/>
      </c>
      <c r="CG100" s="86" t="str">
        <f t="shared" si="8"/>
        <v/>
      </c>
      <c r="CH100" s="86" t="str">
        <f t="shared" si="9"/>
        <v/>
      </c>
      <c r="CI100" s="86" t="str">
        <f t="shared" si="10"/>
        <v/>
      </c>
      <c r="CJ100" s="86" t="str">
        <f t="shared" si="11"/>
        <v/>
      </c>
      <c r="CK100" s="86" t="str">
        <f t="shared" si="12"/>
        <v/>
      </c>
      <c r="CL100" s="86" t="str">
        <f t="shared" si="13"/>
        <v/>
      </c>
      <c r="CM100" s="87" t="str">
        <f t="shared" si="14"/>
        <v/>
      </c>
      <c r="CN100" s="88" t="str">
        <f t="shared" si="26"/>
        <v/>
      </c>
      <c r="CO100" s="88" t="str">
        <f t="shared" si="15"/>
        <v/>
      </c>
      <c r="CP100" s="88" t="str">
        <f t="shared" si="16"/>
        <v/>
      </c>
      <c r="CQ100" s="88" t="str">
        <f t="shared" si="17"/>
        <v/>
      </c>
      <c r="CR100" s="88" t="str">
        <f t="shared" si="18"/>
        <v/>
      </c>
      <c r="CS100" s="88" t="str">
        <f t="shared" si="19"/>
        <v/>
      </c>
      <c r="CT100" s="88" t="str">
        <f t="shared" si="20"/>
        <v/>
      </c>
      <c r="CU100" s="88" t="str">
        <f t="shared" si="21"/>
        <v/>
      </c>
      <c r="CV100" s="88" t="str">
        <f t="shared" si="22"/>
        <v/>
      </c>
      <c r="CW100" s="88" t="str">
        <f t="shared" si="23"/>
        <v/>
      </c>
      <c r="CX100" s="7"/>
      <c r="CY100" s="7"/>
      <c r="CZ100" s="7"/>
      <c r="DA100" s="8"/>
      <c r="DU100" s="93" t="str">
        <f t="shared" si="24"/>
        <v/>
      </c>
      <c r="DV100" s="104" t="str">
        <f>ABA!$A100</f>
        <v/>
      </c>
      <c r="DW100" s="98" t="str">
        <f t="shared" si="25"/>
        <v/>
      </c>
    </row>
    <row r="101" ht="15.75" customHeight="1">
      <c r="A101" s="78"/>
      <c r="B101" s="105"/>
      <c r="C101" s="82"/>
      <c r="D101" s="82"/>
      <c r="E101" s="83"/>
      <c r="F101" s="82"/>
      <c r="G101" s="82"/>
      <c r="H101" s="82"/>
      <c r="I101" s="83"/>
      <c r="J101" s="82"/>
      <c r="K101" s="82"/>
      <c r="L101" s="82"/>
      <c r="M101" s="83"/>
      <c r="N101" s="82"/>
      <c r="O101" s="82"/>
      <c r="P101" s="82"/>
      <c r="Q101" s="83"/>
      <c r="R101" s="82"/>
      <c r="S101" s="82"/>
      <c r="T101" s="82"/>
      <c r="U101" s="83"/>
      <c r="V101" s="82"/>
      <c r="W101" s="82"/>
      <c r="X101" s="82"/>
      <c r="Y101" s="83"/>
      <c r="Z101" s="82"/>
      <c r="AA101" s="82"/>
      <c r="AB101" s="82"/>
      <c r="AC101" s="83"/>
      <c r="AD101" s="82"/>
      <c r="AE101" s="82"/>
      <c r="AF101" s="82"/>
      <c r="AG101" s="83"/>
      <c r="AH101" s="82"/>
      <c r="AI101" s="82"/>
      <c r="AJ101" s="82"/>
      <c r="AK101" s="83"/>
      <c r="AL101" s="82"/>
      <c r="AM101" s="82"/>
      <c r="AN101" s="82"/>
      <c r="AO101" s="82"/>
      <c r="AP101" s="84" t="str">
        <f t="shared" si="2"/>
        <v/>
      </c>
      <c r="AQ101" s="9"/>
      <c r="AR101" s="9"/>
      <c r="AS101" s="8"/>
      <c r="AT101" s="9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8"/>
      <c r="BX101" s="9"/>
      <c r="BY101" s="9"/>
      <c r="BZ101" s="9"/>
      <c r="CA101" s="33"/>
      <c r="CB101" s="85" t="str">
        <f t="shared" si="3"/>
        <v/>
      </c>
      <c r="CC101" s="86" t="str">
        <f t="shared" si="4"/>
        <v/>
      </c>
      <c r="CD101" s="86" t="str">
        <f t="shared" si="5"/>
        <v/>
      </c>
      <c r="CE101" s="86" t="str">
        <f t="shared" si="6"/>
        <v/>
      </c>
      <c r="CF101" s="86" t="str">
        <f t="shared" si="7"/>
        <v/>
      </c>
      <c r="CG101" s="86" t="str">
        <f t="shared" si="8"/>
        <v/>
      </c>
      <c r="CH101" s="86" t="str">
        <f t="shared" si="9"/>
        <v/>
      </c>
      <c r="CI101" s="86" t="str">
        <f t="shared" si="10"/>
        <v/>
      </c>
      <c r="CJ101" s="86" t="str">
        <f t="shared" si="11"/>
        <v/>
      </c>
      <c r="CK101" s="86" t="str">
        <f t="shared" si="12"/>
        <v/>
      </c>
      <c r="CL101" s="86" t="str">
        <f t="shared" si="13"/>
        <v/>
      </c>
      <c r="CM101" s="87" t="str">
        <f t="shared" si="14"/>
        <v/>
      </c>
      <c r="CN101" s="88" t="str">
        <f t="shared" si="26"/>
        <v/>
      </c>
      <c r="CO101" s="88" t="str">
        <f t="shared" si="15"/>
        <v/>
      </c>
      <c r="CP101" s="88" t="str">
        <f t="shared" si="16"/>
        <v/>
      </c>
      <c r="CQ101" s="88" t="str">
        <f t="shared" si="17"/>
        <v/>
      </c>
      <c r="CR101" s="88" t="str">
        <f t="shared" si="18"/>
        <v/>
      </c>
      <c r="CS101" s="88" t="str">
        <f t="shared" si="19"/>
        <v/>
      </c>
      <c r="CT101" s="88" t="str">
        <f t="shared" si="20"/>
        <v/>
      </c>
      <c r="CU101" s="88" t="str">
        <f t="shared" si="21"/>
        <v/>
      </c>
      <c r="CV101" s="88" t="str">
        <f t="shared" si="22"/>
        <v/>
      </c>
      <c r="CW101" s="88" t="str">
        <f t="shared" si="23"/>
        <v/>
      </c>
      <c r="CX101" s="7"/>
      <c r="CY101" s="7"/>
      <c r="CZ101" s="7"/>
      <c r="DA101" s="8"/>
      <c r="DU101" s="104" t="str">
        <f t="shared" si="24"/>
        <v/>
      </c>
      <c r="DV101" s="93" t="str">
        <f>ABA!$A101</f>
        <v/>
      </c>
      <c r="DW101" s="82" t="str">
        <f t="shared" si="25"/>
        <v/>
      </c>
    </row>
    <row r="102" ht="15.75" customHeight="1">
      <c r="A102" s="85"/>
      <c r="B102" s="107"/>
      <c r="C102" s="98"/>
      <c r="D102" s="98"/>
      <c r="E102" s="99"/>
      <c r="F102" s="98"/>
      <c r="G102" s="98"/>
      <c r="H102" s="98"/>
      <c r="I102" s="99"/>
      <c r="J102" s="98"/>
      <c r="K102" s="98"/>
      <c r="L102" s="98"/>
      <c r="M102" s="99"/>
      <c r="N102" s="98"/>
      <c r="O102" s="98"/>
      <c r="P102" s="98"/>
      <c r="Q102" s="99"/>
      <c r="R102" s="98"/>
      <c r="S102" s="98"/>
      <c r="T102" s="98"/>
      <c r="U102" s="99"/>
      <c r="V102" s="98"/>
      <c r="W102" s="98"/>
      <c r="X102" s="98"/>
      <c r="Y102" s="100"/>
      <c r="Z102" s="98"/>
      <c r="AA102" s="98"/>
      <c r="AB102" s="98"/>
      <c r="AC102" s="99"/>
      <c r="AD102" s="98"/>
      <c r="AE102" s="98"/>
      <c r="AF102" s="98"/>
      <c r="AG102" s="99"/>
      <c r="AH102" s="98"/>
      <c r="AI102" s="98"/>
      <c r="AJ102" s="98"/>
      <c r="AK102" s="99"/>
      <c r="AL102" s="98"/>
      <c r="AM102" s="98"/>
      <c r="AN102" s="98"/>
      <c r="AO102" s="98"/>
      <c r="AP102" s="84" t="str">
        <f t="shared" si="2"/>
        <v/>
      </c>
      <c r="AQ102" s="9"/>
      <c r="AR102" s="9"/>
      <c r="AS102" s="8"/>
      <c r="AT102" s="9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8"/>
      <c r="BX102" s="9"/>
      <c r="BY102" s="9"/>
      <c r="BZ102" s="9"/>
      <c r="CA102" s="33"/>
      <c r="CB102" s="85" t="str">
        <f t="shared" si="3"/>
        <v/>
      </c>
      <c r="CC102" s="86" t="str">
        <f t="shared" si="4"/>
        <v/>
      </c>
      <c r="CD102" s="86" t="str">
        <f t="shared" si="5"/>
        <v/>
      </c>
      <c r="CE102" s="86" t="str">
        <f t="shared" si="6"/>
        <v/>
      </c>
      <c r="CF102" s="86" t="str">
        <f t="shared" si="7"/>
        <v/>
      </c>
      <c r="CG102" s="86" t="str">
        <f t="shared" si="8"/>
        <v/>
      </c>
      <c r="CH102" s="86" t="str">
        <f t="shared" si="9"/>
        <v/>
      </c>
      <c r="CI102" s="86" t="str">
        <f t="shared" si="10"/>
        <v/>
      </c>
      <c r="CJ102" s="86" t="str">
        <f t="shared" si="11"/>
        <v/>
      </c>
      <c r="CK102" s="86" t="str">
        <f t="shared" si="12"/>
        <v/>
      </c>
      <c r="CL102" s="86" t="str">
        <f t="shared" si="13"/>
        <v/>
      </c>
      <c r="CM102" s="87" t="str">
        <f t="shared" si="14"/>
        <v/>
      </c>
      <c r="CN102" s="88" t="str">
        <f t="shared" si="26"/>
        <v/>
      </c>
      <c r="CO102" s="88" t="str">
        <f t="shared" si="15"/>
        <v/>
      </c>
      <c r="CP102" s="88" t="str">
        <f t="shared" si="16"/>
        <v/>
      </c>
      <c r="CQ102" s="88" t="str">
        <f t="shared" si="17"/>
        <v/>
      </c>
      <c r="CR102" s="88" t="str">
        <f t="shared" si="18"/>
        <v/>
      </c>
      <c r="CS102" s="88" t="str">
        <f t="shared" si="19"/>
        <v/>
      </c>
      <c r="CT102" s="88" t="str">
        <f t="shared" si="20"/>
        <v/>
      </c>
      <c r="CU102" s="88" t="str">
        <f t="shared" si="21"/>
        <v/>
      </c>
      <c r="CV102" s="88" t="str">
        <f t="shared" si="22"/>
        <v/>
      </c>
      <c r="CW102" s="88" t="str">
        <f t="shared" si="23"/>
        <v/>
      </c>
      <c r="CX102" s="7"/>
      <c r="CY102" s="7"/>
      <c r="CZ102" s="7"/>
      <c r="DA102" s="8"/>
      <c r="DU102" s="93" t="str">
        <f t="shared" si="24"/>
        <v/>
      </c>
      <c r="DV102" s="104" t="str">
        <f>ABA!$A102</f>
        <v/>
      </c>
      <c r="DW102" s="98" t="str">
        <f t="shared" si="25"/>
        <v/>
      </c>
    </row>
    <row r="103" ht="15.75" customHeight="1">
      <c r="A103" s="78"/>
      <c r="B103" s="105"/>
      <c r="C103" s="82"/>
      <c r="D103" s="82"/>
      <c r="E103" s="83"/>
      <c r="F103" s="82"/>
      <c r="G103" s="82"/>
      <c r="H103" s="82"/>
      <c r="I103" s="83"/>
      <c r="J103" s="82"/>
      <c r="K103" s="82"/>
      <c r="L103" s="82"/>
      <c r="M103" s="83"/>
      <c r="N103" s="82"/>
      <c r="O103" s="82"/>
      <c r="P103" s="82"/>
      <c r="Q103" s="83"/>
      <c r="R103" s="82"/>
      <c r="S103" s="82"/>
      <c r="T103" s="82"/>
      <c r="U103" s="83"/>
      <c r="V103" s="82"/>
      <c r="W103" s="82"/>
      <c r="X103" s="82"/>
      <c r="Y103" s="83"/>
      <c r="Z103" s="82"/>
      <c r="AA103" s="82"/>
      <c r="AB103" s="82"/>
      <c r="AC103" s="83"/>
      <c r="AD103" s="82"/>
      <c r="AE103" s="82"/>
      <c r="AF103" s="82"/>
      <c r="AG103" s="83"/>
      <c r="AH103" s="82"/>
      <c r="AI103" s="82"/>
      <c r="AJ103" s="82"/>
      <c r="AK103" s="83"/>
      <c r="AL103" s="82"/>
      <c r="AM103" s="82"/>
      <c r="AN103" s="82"/>
      <c r="AO103" s="82"/>
      <c r="AP103" s="84" t="str">
        <f t="shared" si="2"/>
        <v/>
      </c>
      <c r="AQ103" s="9"/>
      <c r="AR103" s="9"/>
      <c r="AS103" s="8"/>
      <c r="AT103" s="9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8"/>
      <c r="BX103" s="9"/>
      <c r="BY103" s="9"/>
      <c r="BZ103" s="9"/>
      <c r="CA103" s="33"/>
      <c r="CB103" s="85" t="str">
        <f t="shared" si="3"/>
        <v/>
      </c>
      <c r="CC103" s="86" t="str">
        <f t="shared" si="4"/>
        <v/>
      </c>
      <c r="CD103" s="86" t="str">
        <f t="shared" si="5"/>
        <v/>
      </c>
      <c r="CE103" s="86" t="str">
        <f t="shared" si="6"/>
        <v/>
      </c>
      <c r="CF103" s="86" t="str">
        <f t="shared" si="7"/>
        <v/>
      </c>
      <c r="CG103" s="86" t="str">
        <f t="shared" si="8"/>
        <v/>
      </c>
      <c r="CH103" s="86" t="str">
        <f t="shared" si="9"/>
        <v/>
      </c>
      <c r="CI103" s="86" t="str">
        <f t="shared" si="10"/>
        <v/>
      </c>
      <c r="CJ103" s="86" t="str">
        <f t="shared" si="11"/>
        <v/>
      </c>
      <c r="CK103" s="86" t="str">
        <f t="shared" si="12"/>
        <v/>
      </c>
      <c r="CL103" s="86" t="str">
        <f t="shared" si="13"/>
        <v/>
      </c>
      <c r="CM103" s="87" t="str">
        <f t="shared" si="14"/>
        <v/>
      </c>
      <c r="CN103" s="88" t="str">
        <f t="shared" si="26"/>
        <v/>
      </c>
      <c r="CO103" s="88" t="str">
        <f t="shared" si="15"/>
        <v/>
      </c>
      <c r="CP103" s="88" t="str">
        <f t="shared" si="16"/>
        <v/>
      </c>
      <c r="CQ103" s="88" t="str">
        <f t="shared" si="17"/>
        <v/>
      </c>
      <c r="CR103" s="88" t="str">
        <f t="shared" si="18"/>
        <v/>
      </c>
      <c r="CS103" s="88" t="str">
        <f t="shared" si="19"/>
        <v/>
      </c>
      <c r="CT103" s="88" t="str">
        <f t="shared" si="20"/>
        <v/>
      </c>
      <c r="CU103" s="88" t="str">
        <f t="shared" si="21"/>
        <v/>
      </c>
      <c r="CV103" s="88" t="str">
        <f t="shared" si="22"/>
        <v/>
      </c>
      <c r="CW103" s="88" t="str">
        <f t="shared" si="23"/>
        <v/>
      </c>
      <c r="CX103" s="7"/>
      <c r="CY103" s="7"/>
      <c r="CZ103" s="7"/>
      <c r="DA103" s="8"/>
      <c r="DU103" s="104" t="str">
        <f t="shared" si="24"/>
        <v/>
      </c>
      <c r="DV103" s="93" t="str">
        <f>ABA!$A103</f>
        <v/>
      </c>
      <c r="DW103" s="82" t="str">
        <f t="shared" si="25"/>
        <v/>
      </c>
    </row>
    <row r="104" ht="15.75" customHeight="1">
      <c r="A104" s="85"/>
      <c r="B104" s="107"/>
      <c r="C104" s="98"/>
      <c r="D104" s="98"/>
      <c r="E104" s="99"/>
      <c r="F104" s="98"/>
      <c r="G104" s="98"/>
      <c r="H104" s="98"/>
      <c r="I104" s="99"/>
      <c r="J104" s="98"/>
      <c r="K104" s="98"/>
      <c r="L104" s="98"/>
      <c r="M104" s="99"/>
      <c r="N104" s="98"/>
      <c r="O104" s="98"/>
      <c r="P104" s="98"/>
      <c r="Q104" s="99"/>
      <c r="R104" s="98"/>
      <c r="S104" s="98"/>
      <c r="T104" s="98"/>
      <c r="U104" s="99"/>
      <c r="V104" s="98"/>
      <c r="W104" s="98"/>
      <c r="X104" s="98"/>
      <c r="Y104" s="100"/>
      <c r="Z104" s="98"/>
      <c r="AA104" s="98"/>
      <c r="AB104" s="98"/>
      <c r="AC104" s="99"/>
      <c r="AD104" s="98"/>
      <c r="AE104" s="98"/>
      <c r="AF104" s="98"/>
      <c r="AG104" s="99"/>
      <c r="AH104" s="98"/>
      <c r="AI104" s="98"/>
      <c r="AJ104" s="98"/>
      <c r="AK104" s="99"/>
      <c r="AL104" s="98"/>
      <c r="AM104" s="98"/>
      <c r="AN104" s="98"/>
      <c r="AO104" s="98"/>
      <c r="AP104" s="84" t="str">
        <f t="shared" si="2"/>
        <v/>
      </c>
      <c r="AQ104" s="9"/>
      <c r="AR104" s="9"/>
      <c r="AS104" s="8"/>
      <c r="AT104" s="9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8"/>
      <c r="BX104" s="9"/>
      <c r="BY104" s="9"/>
      <c r="BZ104" s="9"/>
      <c r="CA104" s="33"/>
      <c r="CB104" s="85" t="str">
        <f t="shared" si="3"/>
        <v/>
      </c>
      <c r="CC104" s="86" t="str">
        <f t="shared" si="4"/>
        <v/>
      </c>
      <c r="CD104" s="86" t="str">
        <f t="shared" si="5"/>
        <v/>
      </c>
      <c r="CE104" s="86" t="str">
        <f t="shared" si="6"/>
        <v/>
      </c>
      <c r="CF104" s="86" t="str">
        <f t="shared" si="7"/>
        <v/>
      </c>
      <c r="CG104" s="86" t="str">
        <f t="shared" si="8"/>
        <v/>
      </c>
      <c r="CH104" s="86" t="str">
        <f t="shared" si="9"/>
        <v/>
      </c>
      <c r="CI104" s="86" t="str">
        <f t="shared" si="10"/>
        <v/>
      </c>
      <c r="CJ104" s="86" t="str">
        <f t="shared" si="11"/>
        <v/>
      </c>
      <c r="CK104" s="86" t="str">
        <f t="shared" si="12"/>
        <v/>
      </c>
      <c r="CL104" s="86" t="str">
        <f t="shared" si="13"/>
        <v/>
      </c>
      <c r="CM104" s="87" t="str">
        <f t="shared" si="14"/>
        <v/>
      </c>
      <c r="CN104" s="88" t="str">
        <f t="shared" si="26"/>
        <v/>
      </c>
      <c r="CO104" s="88" t="str">
        <f t="shared" si="15"/>
        <v/>
      </c>
      <c r="CP104" s="88" t="str">
        <f t="shared" si="16"/>
        <v/>
      </c>
      <c r="CQ104" s="88" t="str">
        <f t="shared" si="17"/>
        <v/>
      </c>
      <c r="CR104" s="88" t="str">
        <f t="shared" si="18"/>
        <v/>
      </c>
      <c r="CS104" s="88" t="str">
        <f t="shared" si="19"/>
        <v/>
      </c>
      <c r="CT104" s="88" t="str">
        <f t="shared" si="20"/>
        <v/>
      </c>
      <c r="CU104" s="88" t="str">
        <f t="shared" si="21"/>
        <v/>
      </c>
      <c r="CV104" s="88" t="str">
        <f t="shared" si="22"/>
        <v/>
      </c>
      <c r="CW104" s="88" t="str">
        <f t="shared" si="23"/>
        <v/>
      </c>
      <c r="CX104" s="7"/>
      <c r="CY104" s="7"/>
      <c r="CZ104" s="7"/>
      <c r="DA104" s="8"/>
      <c r="DU104" s="93" t="str">
        <f t="shared" si="24"/>
        <v/>
      </c>
      <c r="DV104" s="104" t="str">
        <f>ABA!$A104</f>
        <v/>
      </c>
      <c r="DW104" s="98" t="str">
        <f t="shared" si="25"/>
        <v/>
      </c>
    </row>
    <row r="105" ht="15.75" customHeight="1">
      <c r="A105" s="78"/>
      <c r="B105" s="105"/>
      <c r="C105" s="82"/>
      <c r="D105" s="82"/>
      <c r="E105" s="83"/>
      <c r="F105" s="82"/>
      <c r="G105" s="82"/>
      <c r="H105" s="82"/>
      <c r="I105" s="83"/>
      <c r="J105" s="82"/>
      <c r="K105" s="82"/>
      <c r="L105" s="82"/>
      <c r="M105" s="83"/>
      <c r="N105" s="82"/>
      <c r="O105" s="82"/>
      <c r="P105" s="82"/>
      <c r="Q105" s="83"/>
      <c r="R105" s="82"/>
      <c r="S105" s="82"/>
      <c r="T105" s="82"/>
      <c r="U105" s="83"/>
      <c r="V105" s="82"/>
      <c r="W105" s="82"/>
      <c r="X105" s="82"/>
      <c r="Y105" s="83"/>
      <c r="Z105" s="82"/>
      <c r="AA105" s="82"/>
      <c r="AB105" s="82"/>
      <c r="AC105" s="83"/>
      <c r="AD105" s="82"/>
      <c r="AE105" s="82"/>
      <c r="AF105" s="82"/>
      <c r="AG105" s="83"/>
      <c r="AH105" s="82"/>
      <c r="AI105" s="82"/>
      <c r="AJ105" s="82"/>
      <c r="AK105" s="83"/>
      <c r="AL105" s="82"/>
      <c r="AM105" s="82"/>
      <c r="AN105" s="82"/>
      <c r="AO105" s="82"/>
      <c r="AP105" s="84" t="str">
        <f t="shared" si="2"/>
        <v/>
      </c>
      <c r="AQ105" s="9"/>
      <c r="AR105" s="9"/>
      <c r="AS105" s="8"/>
      <c r="AT105" s="9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8"/>
      <c r="BX105" s="9"/>
      <c r="BY105" s="9"/>
      <c r="BZ105" s="9"/>
      <c r="CA105" s="33"/>
      <c r="CB105" s="85" t="str">
        <f t="shared" si="3"/>
        <v/>
      </c>
      <c r="CC105" s="86" t="str">
        <f t="shared" si="4"/>
        <v/>
      </c>
      <c r="CD105" s="86" t="str">
        <f t="shared" si="5"/>
        <v/>
      </c>
      <c r="CE105" s="86" t="str">
        <f t="shared" si="6"/>
        <v/>
      </c>
      <c r="CF105" s="86" t="str">
        <f t="shared" si="7"/>
        <v/>
      </c>
      <c r="CG105" s="86" t="str">
        <f t="shared" si="8"/>
        <v/>
      </c>
      <c r="CH105" s="86" t="str">
        <f t="shared" si="9"/>
        <v/>
      </c>
      <c r="CI105" s="86" t="str">
        <f t="shared" si="10"/>
        <v/>
      </c>
      <c r="CJ105" s="86" t="str">
        <f t="shared" si="11"/>
        <v/>
      </c>
      <c r="CK105" s="86" t="str">
        <f t="shared" si="12"/>
        <v/>
      </c>
      <c r="CL105" s="86" t="str">
        <f t="shared" si="13"/>
        <v/>
      </c>
      <c r="CM105" s="87" t="str">
        <f t="shared" si="14"/>
        <v/>
      </c>
      <c r="CN105" s="88" t="str">
        <f t="shared" si="26"/>
        <v/>
      </c>
      <c r="CO105" s="88" t="str">
        <f t="shared" si="15"/>
        <v/>
      </c>
      <c r="CP105" s="88" t="str">
        <f t="shared" si="16"/>
        <v/>
      </c>
      <c r="CQ105" s="88" t="str">
        <f t="shared" si="17"/>
        <v/>
      </c>
      <c r="CR105" s="88" t="str">
        <f t="shared" si="18"/>
        <v/>
      </c>
      <c r="CS105" s="88" t="str">
        <f t="shared" si="19"/>
        <v/>
      </c>
      <c r="CT105" s="88" t="str">
        <f t="shared" si="20"/>
        <v/>
      </c>
      <c r="CU105" s="88" t="str">
        <f t="shared" si="21"/>
        <v/>
      </c>
      <c r="CV105" s="88" t="str">
        <f t="shared" si="22"/>
        <v/>
      </c>
      <c r="CW105" s="88" t="str">
        <f t="shared" si="23"/>
        <v/>
      </c>
      <c r="CX105" s="7"/>
      <c r="CY105" s="7"/>
      <c r="CZ105" s="7"/>
      <c r="DA105" s="8"/>
      <c r="DU105" s="104" t="str">
        <f t="shared" si="24"/>
        <v/>
      </c>
      <c r="DV105" s="93" t="str">
        <f>ABA!$A105</f>
        <v/>
      </c>
      <c r="DW105" s="82" t="str">
        <f t="shared" si="25"/>
        <v/>
      </c>
    </row>
    <row r="106" ht="15.75" customHeight="1">
      <c r="A106" s="85"/>
      <c r="B106" s="107"/>
      <c r="C106" s="98"/>
      <c r="D106" s="98"/>
      <c r="E106" s="99"/>
      <c r="F106" s="98"/>
      <c r="G106" s="98"/>
      <c r="H106" s="98"/>
      <c r="I106" s="99"/>
      <c r="J106" s="98"/>
      <c r="K106" s="98"/>
      <c r="L106" s="98"/>
      <c r="M106" s="99"/>
      <c r="N106" s="98"/>
      <c r="O106" s="98"/>
      <c r="P106" s="98"/>
      <c r="Q106" s="99"/>
      <c r="R106" s="98"/>
      <c r="S106" s="98"/>
      <c r="T106" s="98"/>
      <c r="U106" s="99"/>
      <c r="V106" s="98"/>
      <c r="W106" s="98"/>
      <c r="X106" s="98"/>
      <c r="Y106" s="100"/>
      <c r="Z106" s="98"/>
      <c r="AA106" s="98"/>
      <c r="AB106" s="98"/>
      <c r="AC106" s="99"/>
      <c r="AD106" s="98"/>
      <c r="AE106" s="98"/>
      <c r="AF106" s="98"/>
      <c r="AG106" s="99"/>
      <c r="AH106" s="98"/>
      <c r="AI106" s="98"/>
      <c r="AJ106" s="98"/>
      <c r="AK106" s="99"/>
      <c r="AL106" s="98"/>
      <c r="AM106" s="98"/>
      <c r="AN106" s="98"/>
      <c r="AO106" s="98"/>
      <c r="AP106" s="84" t="str">
        <f t="shared" si="2"/>
        <v/>
      </c>
      <c r="AQ106" s="9"/>
      <c r="AR106" s="9"/>
      <c r="AS106" s="8"/>
      <c r="AT106" s="9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8"/>
      <c r="BX106" s="9"/>
      <c r="BY106" s="9"/>
      <c r="BZ106" s="9"/>
      <c r="CA106" s="33"/>
      <c r="CB106" s="85" t="str">
        <f t="shared" si="3"/>
        <v/>
      </c>
      <c r="CC106" s="86" t="str">
        <f t="shared" si="4"/>
        <v/>
      </c>
      <c r="CD106" s="86" t="str">
        <f t="shared" si="5"/>
        <v/>
      </c>
      <c r="CE106" s="86" t="str">
        <f t="shared" si="6"/>
        <v/>
      </c>
      <c r="CF106" s="86" t="str">
        <f t="shared" si="7"/>
        <v/>
      </c>
      <c r="CG106" s="86" t="str">
        <f t="shared" si="8"/>
        <v/>
      </c>
      <c r="CH106" s="86" t="str">
        <f t="shared" si="9"/>
        <v/>
      </c>
      <c r="CI106" s="86" t="str">
        <f t="shared" si="10"/>
        <v/>
      </c>
      <c r="CJ106" s="86" t="str">
        <f t="shared" si="11"/>
        <v/>
      </c>
      <c r="CK106" s="86" t="str">
        <f t="shared" si="12"/>
        <v/>
      </c>
      <c r="CL106" s="86" t="str">
        <f t="shared" si="13"/>
        <v/>
      </c>
      <c r="CM106" s="87" t="str">
        <f t="shared" si="14"/>
        <v/>
      </c>
      <c r="CN106" s="88" t="str">
        <f t="shared" si="26"/>
        <v/>
      </c>
      <c r="CO106" s="88" t="str">
        <f t="shared" si="15"/>
        <v/>
      </c>
      <c r="CP106" s="88" t="str">
        <f t="shared" si="16"/>
        <v/>
      </c>
      <c r="CQ106" s="88" t="str">
        <f t="shared" si="17"/>
        <v/>
      </c>
      <c r="CR106" s="88" t="str">
        <f t="shared" si="18"/>
        <v/>
      </c>
      <c r="CS106" s="88" t="str">
        <f t="shared" si="19"/>
        <v/>
      </c>
      <c r="CT106" s="88" t="str">
        <f t="shared" si="20"/>
        <v/>
      </c>
      <c r="CU106" s="88" t="str">
        <f t="shared" si="21"/>
        <v/>
      </c>
      <c r="CV106" s="88" t="str">
        <f t="shared" si="22"/>
        <v/>
      </c>
      <c r="CW106" s="88" t="str">
        <f t="shared" si="23"/>
        <v/>
      </c>
      <c r="CX106" s="7"/>
      <c r="CY106" s="7"/>
      <c r="CZ106" s="7"/>
      <c r="DA106" s="8"/>
      <c r="DU106" s="93" t="str">
        <f t="shared" si="24"/>
        <v/>
      </c>
      <c r="DV106" s="104" t="str">
        <f>ABA!$A106</f>
        <v/>
      </c>
      <c r="DW106" s="98" t="str">
        <f t="shared" si="25"/>
        <v/>
      </c>
    </row>
    <row r="107" ht="15.75" customHeight="1">
      <c r="A107" s="78"/>
      <c r="B107" s="105"/>
      <c r="C107" s="82"/>
      <c r="D107" s="82"/>
      <c r="E107" s="83"/>
      <c r="F107" s="82"/>
      <c r="G107" s="82"/>
      <c r="H107" s="82"/>
      <c r="I107" s="83"/>
      <c r="J107" s="82"/>
      <c r="K107" s="82"/>
      <c r="L107" s="82"/>
      <c r="M107" s="83"/>
      <c r="N107" s="82"/>
      <c r="O107" s="82"/>
      <c r="P107" s="82"/>
      <c r="Q107" s="83"/>
      <c r="R107" s="82"/>
      <c r="S107" s="82"/>
      <c r="T107" s="82"/>
      <c r="U107" s="83"/>
      <c r="V107" s="82"/>
      <c r="W107" s="82"/>
      <c r="X107" s="82"/>
      <c r="Y107" s="83"/>
      <c r="Z107" s="82"/>
      <c r="AA107" s="82"/>
      <c r="AB107" s="82"/>
      <c r="AC107" s="83"/>
      <c r="AD107" s="82"/>
      <c r="AE107" s="82"/>
      <c r="AF107" s="82"/>
      <c r="AG107" s="83"/>
      <c r="AH107" s="82"/>
      <c r="AI107" s="82"/>
      <c r="AJ107" s="82"/>
      <c r="AK107" s="83"/>
      <c r="AL107" s="82"/>
      <c r="AM107" s="82"/>
      <c r="AN107" s="82"/>
      <c r="AO107" s="82"/>
      <c r="AP107" s="84" t="str">
        <f t="shared" si="2"/>
        <v/>
      </c>
      <c r="AQ107" s="9"/>
      <c r="AR107" s="9"/>
      <c r="AS107" s="8"/>
      <c r="AT107" s="9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8"/>
      <c r="BX107" s="9"/>
      <c r="BY107" s="9"/>
      <c r="BZ107" s="9"/>
      <c r="CA107" s="33"/>
      <c r="CB107" s="85" t="str">
        <f t="shared" si="3"/>
        <v/>
      </c>
      <c r="CC107" s="86" t="str">
        <f t="shared" si="4"/>
        <v/>
      </c>
      <c r="CD107" s="86" t="str">
        <f t="shared" si="5"/>
        <v/>
      </c>
      <c r="CE107" s="86" t="str">
        <f t="shared" si="6"/>
        <v/>
      </c>
      <c r="CF107" s="86" t="str">
        <f t="shared" si="7"/>
        <v/>
      </c>
      <c r="CG107" s="86" t="str">
        <f t="shared" si="8"/>
        <v/>
      </c>
      <c r="CH107" s="86" t="str">
        <f t="shared" si="9"/>
        <v/>
      </c>
      <c r="CI107" s="86" t="str">
        <f t="shared" si="10"/>
        <v/>
      </c>
      <c r="CJ107" s="86" t="str">
        <f t="shared" si="11"/>
        <v/>
      </c>
      <c r="CK107" s="86" t="str">
        <f t="shared" si="12"/>
        <v/>
      </c>
      <c r="CL107" s="86" t="str">
        <f t="shared" si="13"/>
        <v/>
      </c>
      <c r="CM107" s="87" t="str">
        <f t="shared" si="14"/>
        <v/>
      </c>
      <c r="CN107" s="88" t="str">
        <f t="shared" si="26"/>
        <v/>
      </c>
      <c r="CO107" s="88" t="str">
        <f t="shared" si="15"/>
        <v/>
      </c>
      <c r="CP107" s="88" t="str">
        <f t="shared" si="16"/>
        <v/>
      </c>
      <c r="CQ107" s="88" t="str">
        <f t="shared" si="17"/>
        <v/>
      </c>
      <c r="CR107" s="88" t="str">
        <f t="shared" si="18"/>
        <v/>
      </c>
      <c r="CS107" s="88" t="str">
        <f t="shared" si="19"/>
        <v/>
      </c>
      <c r="CT107" s="88" t="str">
        <f t="shared" si="20"/>
        <v/>
      </c>
      <c r="CU107" s="88" t="str">
        <f t="shared" si="21"/>
        <v/>
      </c>
      <c r="CV107" s="88" t="str">
        <f t="shared" si="22"/>
        <v/>
      </c>
      <c r="CW107" s="88" t="str">
        <f t="shared" si="23"/>
        <v/>
      </c>
      <c r="CX107" s="7"/>
      <c r="CY107" s="7"/>
      <c r="CZ107" s="7"/>
      <c r="DA107" s="8"/>
      <c r="DU107" s="104" t="str">
        <f t="shared" si="24"/>
        <v/>
      </c>
      <c r="DV107" s="93" t="str">
        <f>ABA!$A107</f>
        <v/>
      </c>
      <c r="DW107" s="82" t="str">
        <f t="shared" si="25"/>
        <v/>
      </c>
    </row>
    <row r="108" ht="15.75" customHeight="1">
      <c r="A108" s="85"/>
      <c r="B108" s="107"/>
      <c r="C108" s="98"/>
      <c r="D108" s="98"/>
      <c r="E108" s="99"/>
      <c r="F108" s="98"/>
      <c r="G108" s="98"/>
      <c r="H108" s="98"/>
      <c r="I108" s="99"/>
      <c r="J108" s="98"/>
      <c r="K108" s="98"/>
      <c r="L108" s="98"/>
      <c r="M108" s="99"/>
      <c r="N108" s="98"/>
      <c r="O108" s="98"/>
      <c r="P108" s="98"/>
      <c r="Q108" s="99"/>
      <c r="R108" s="98"/>
      <c r="S108" s="98"/>
      <c r="T108" s="98"/>
      <c r="U108" s="99"/>
      <c r="V108" s="98"/>
      <c r="W108" s="98"/>
      <c r="X108" s="98"/>
      <c r="Y108" s="100"/>
      <c r="Z108" s="98"/>
      <c r="AA108" s="98"/>
      <c r="AB108" s="98"/>
      <c r="AC108" s="99"/>
      <c r="AD108" s="98"/>
      <c r="AE108" s="98"/>
      <c r="AF108" s="98"/>
      <c r="AG108" s="99"/>
      <c r="AH108" s="98"/>
      <c r="AI108" s="98"/>
      <c r="AJ108" s="98"/>
      <c r="AK108" s="99"/>
      <c r="AL108" s="98"/>
      <c r="AM108" s="98"/>
      <c r="AN108" s="98"/>
      <c r="AO108" s="98"/>
      <c r="AP108" s="84" t="str">
        <f t="shared" si="2"/>
        <v/>
      </c>
      <c r="AQ108" s="9"/>
      <c r="AR108" s="9"/>
      <c r="AS108" s="8"/>
      <c r="AT108" s="9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8"/>
      <c r="BX108" s="9"/>
      <c r="BY108" s="9"/>
      <c r="BZ108" s="9"/>
      <c r="CA108" s="33"/>
      <c r="CB108" s="85" t="str">
        <f t="shared" si="3"/>
        <v/>
      </c>
      <c r="CC108" s="86" t="str">
        <f t="shared" si="4"/>
        <v/>
      </c>
      <c r="CD108" s="86" t="str">
        <f t="shared" si="5"/>
        <v/>
      </c>
      <c r="CE108" s="86" t="str">
        <f t="shared" si="6"/>
        <v/>
      </c>
      <c r="CF108" s="86" t="str">
        <f t="shared" si="7"/>
        <v/>
      </c>
      <c r="CG108" s="86" t="str">
        <f t="shared" si="8"/>
        <v/>
      </c>
      <c r="CH108" s="86" t="str">
        <f t="shared" si="9"/>
        <v/>
      </c>
      <c r="CI108" s="86" t="str">
        <f t="shared" si="10"/>
        <v/>
      </c>
      <c r="CJ108" s="86" t="str">
        <f t="shared" si="11"/>
        <v/>
      </c>
      <c r="CK108" s="86" t="str">
        <f t="shared" si="12"/>
        <v/>
      </c>
      <c r="CL108" s="86" t="str">
        <f t="shared" si="13"/>
        <v/>
      </c>
      <c r="CM108" s="87" t="str">
        <f t="shared" si="14"/>
        <v/>
      </c>
      <c r="CN108" s="88" t="str">
        <f t="shared" si="26"/>
        <v/>
      </c>
      <c r="CO108" s="88" t="str">
        <f t="shared" si="15"/>
        <v/>
      </c>
      <c r="CP108" s="88" t="str">
        <f t="shared" si="16"/>
        <v/>
      </c>
      <c r="CQ108" s="88" t="str">
        <f t="shared" si="17"/>
        <v/>
      </c>
      <c r="CR108" s="88" t="str">
        <f t="shared" si="18"/>
        <v/>
      </c>
      <c r="CS108" s="88" t="str">
        <f t="shared" si="19"/>
        <v/>
      </c>
      <c r="CT108" s="88" t="str">
        <f t="shared" si="20"/>
        <v/>
      </c>
      <c r="CU108" s="88" t="str">
        <f t="shared" si="21"/>
        <v/>
      </c>
      <c r="CV108" s="88" t="str">
        <f t="shared" si="22"/>
        <v/>
      </c>
      <c r="CW108" s="88" t="str">
        <f t="shared" si="23"/>
        <v/>
      </c>
      <c r="CX108" s="7"/>
      <c r="CY108" s="7"/>
      <c r="CZ108" s="7"/>
      <c r="DA108" s="8"/>
      <c r="DU108" s="93" t="str">
        <f t="shared" si="24"/>
        <v/>
      </c>
      <c r="DV108" s="104" t="str">
        <f>ABA!$A108</f>
        <v/>
      </c>
      <c r="DW108" s="98" t="str">
        <f t="shared" si="25"/>
        <v/>
      </c>
    </row>
    <row r="109" ht="15.75" customHeight="1">
      <c r="A109" s="78"/>
      <c r="B109" s="105"/>
      <c r="C109" s="82"/>
      <c r="D109" s="82"/>
      <c r="E109" s="83"/>
      <c r="F109" s="82"/>
      <c r="G109" s="82"/>
      <c r="H109" s="82"/>
      <c r="I109" s="83"/>
      <c r="J109" s="82"/>
      <c r="K109" s="82"/>
      <c r="L109" s="82"/>
      <c r="M109" s="83"/>
      <c r="N109" s="82"/>
      <c r="O109" s="82"/>
      <c r="P109" s="82"/>
      <c r="Q109" s="83"/>
      <c r="R109" s="82"/>
      <c r="S109" s="82"/>
      <c r="T109" s="82"/>
      <c r="U109" s="83"/>
      <c r="V109" s="82"/>
      <c r="W109" s="82"/>
      <c r="X109" s="82"/>
      <c r="Y109" s="83"/>
      <c r="Z109" s="82"/>
      <c r="AA109" s="82"/>
      <c r="AB109" s="82"/>
      <c r="AC109" s="83"/>
      <c r="AD109" s="82"/>
      <c r="AE109" s="82"/>
      <c r="AF109" s="82"/>
      <c r="AG109" s="83"/>
      <c r="AH109" s="82"/>
      <c r="AI109" s="82"/>
      <c r="AJ109" s="82"/>
      <c r="AK109" s="83"/>
      <c r="AL109" s="82"/>
      <c r="AM109" s="82"/>
      <c r="AN109" s="82"/>
      <c r="AO109" s="82"/>
      <c r="AP109" s="84" t="str">
        <f t="shared" si="2"/>
        <v/>
      </c>
      <c r="AQ109" s="9"/>
      <c r="AR109" s="9"/>
      <c r="AS109" s="8"/>
      <c r="AT109" s="9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8"/>
      <c r="BX109" s="9"/>
      <c r="BY109" s="9"/>
      <c r="BZ109" s="9"/>
      <c r="CA109" s="33"/>
      <c r="CB109" s="85" t="str">
        <f t="shared" si="3"/>
        <v/>
      </c>
      <c r="CC109" s="86" t="str">
        <f t="shared" si="4"/>
        <v/>
      </c>
      <c r="CD109" s="86" t="str">
        <f t="shared" si="5"/>
        <v/>
      </c>
      <c r="CE109" s="86" t="str">
        <f t="shared" si="6"/>
        <v/>
      </c>
      <c r="CF109" s="86" t="str">
        <f t="shared" si="7"/>
        <v/>
      </c>
      <c r="CG109" s="86" t="str">
        <f t="shared" si="8"/>
        <v/>
      </c>
      <c r="CH109" s="86" t="str">
        <f t="shared" si="9"/>
        <v/>
      </c>
      <c r="CI109" s="86" t="str">
        <f t="shared" si="10"/>
        <v/>
      </c>
      <c r="CJ109" s="86" t="str">
        <f t="shared" si="11"/>
        <v/>
      </c>
      <c r="CK109" s="86" t="str">
        <f t="shared" si="12"/>
        <v/>
      </c>
      <c r="CL109" s="86" t="str">
        <f t="shared" si="13"/>
        <v/>
      </c>
      <c r="CM109" s="87" t="str">
        <f t="shared" si="14"/>
        <v/>
      </c>
      <c r="CN109" s="88" t="str">
        <f t="shared" si="26"/>
        <v/>
      </c>
      <c r="CO109" s="88" t="str">
        <f t="shared" si="15"/>
        <v/>
      </c>
      <c r="CP109" s="88" t="str">
        <f t="shared" si="16"/>
        <v/>
      </c>
      <c r="CQ109" s="88" t="str">
        <f t="shared" si="17"/>
        <v/>
      </c>
      <c r="CR109" s="88" t="str">
        <f t="shared" si="18"/>
        <v/>
      </c>
      <c r="CS109" s="88" t="str">
        <f t="shared" si="19"/>
        <v/>
      </c>
      <c r="CT109" s="88" t="str">
        <f t="shared" si="20"/>
        <v/>
      </c>
      <c r="CU109" s="88" t="str">
        <f t="shared" si="21"/>
        <v/>
      </c>
      <c r="CV109" s="88" t="str">
        <f t="shared" si="22"/>
        <v/>
      </c>
      <c r="CW109" s="88" t="str">
        <f t="shared" si="23"/>
        <v/>
      </c>
      <c r="CX109" s="7"/>
      <c r="CY109" s="7"/>
      <c r="CZ109" s="7"/>
      <c r="DA109" s="8"/>
      <c r="DU109" s="104" t="str">
        <f t="shared" si="24"/>
        <v/>
      </c>
      <c r="DV109" s="93" t="str">
        <f>ABA!$A109</f>
        <v/>
      </c>
      <c r="DW109" s="82" t="str">
        <f t="shared" si="25"/>
        <v/>
      </c>
    </row>
    <row r="110" ht="15.75" customHeight="1">
      <c r="A110" s="85"/>
      <c r="B110" s="107"/>
      <c r="C110" s="98"/>
      <c r="D110" s="98"/>
      <c r="E110" s="99"/>
      <c r="F110" s="98"/>
      <c r="G110" s="98"/>
      <c r="H110" s="98"/>
      <c r="I110" s="99"/>
      <c r="J110" s="98"/>
      <c r="K110" s="98"/>
      <c r="L110" s="98"/>
      <c r="M110" s="99"/>
      <c r="N110" s="98"/>
      <c r="O110" s="98"/>
      <c r="P110" s="98"/>
      <c r="Q110" s="99"/>
      <c r="R110" s="98"/>
      <c r="S110" s="98"/>
      <c r="T110" s="98"/>
      <c r="U110" s="99"/>
      <c r="V110" s="98"/>
      <c r="W110" s="98"/>
      <c r="X110" s="98"/>
      <c r="Y110" s="100"/>
      <c r="Z110" s="98"/>
      <c r="AA110" s="98"/>
      <c r="AB110" s="98"/>
      <c r="AC110" s="99"/>
      <c r="AD110" s="98"/>
      <c r="AE110" s="98"/>
      <c r="AF110" s="98"/>
      <c r="AG110" s="99"/>
      <c r="AH110" s="98"/>
      <c r="AI110" s="98"/>
      <c r="AJ110" s="98"/>
      <c r="AK110" s="99"/>
      <c r="AL110" s="98"/>
      <c r="AM110" s="98"/>
      <c r="AN110" s="98"/>
      <c r="AO110" s="98"/>
      <c r="AP110" s="84" t="str">
        <f t="shared" si="2"/>
        <v/>
      </c>
      <c r="AQ110" s="9"/>
      <c r="AR110" s="9"/>
      <c r="AS110" s="8"/>
      <c r="AT110" s="9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8"/>
      <c r="BX110" s="9"/>
      <c r="BY110" s="9"/>
      <c r="BZ110" s="9"/>
      <c r="CA110" s="33"/>
      <c r="CB110" s="85" t="str">
        <f t="shared" si="3"/>
        <v/>
      </c>
      <c r="CC110" s="86" t="str">
        <f t="shared" si="4"/>
        <v/>
      </c>
      <c r="CD110" s="86" t="str">
        <f t="shared" si="5"/>
        <v/>
      </c>
      <c r="CE110" s="86" t="str">
        <f t="shared" si="6"/>
        <v/>
      </c>
      <c r="CF110" s="86" t="str">
        <f t="shared" si="7"/>
        <v/>
      </c>
      <c r="CG110" s="86" t="str">
        <f t="shared" si="8"/>
        <v/>
      </c>
      <c r="CH110" s="86" t="str">
        <f t="shared" si="9"/>
        <v/>
      </c>
      <c r="CI110" s="86" t="str">
        <f t="shared" si="10"/>
        <v/>
      </c>
      <c r="CJ110" s="86" t="str">
        <f t="shared" si="11"/>
        <v/>
      </c>
      <c r="CK110" s="86" t="str">
        <f t="shared" si="12"/>
        <v/>
      </c>
      <c r="CL110" s="86" t="str">
        <f t="shared" si="13"/>
        <v/>
      </c>
      <c r="CM110" s="87" t="str">
        <f t="shared" si="14"/>
        <v/>
      </c>
      <c r="CN110" s="88" t="str">
        <f t="shared" si="26"/>
        <v/>
      </c>
      <c r="CO110" s="88" t="str">
        <f t="shared" si="15"/>
        <v/>
      </c>
      <c r="CP110" s="88" t="str">
        <f t="shared" si="16"/>
        <v/>
      </c>
      <c r="CQ110" s="88" t="str">
        <f t="shared" si="17"/>
        <v/>
      </c>
      <c r="CR110" s="88" t="str">
        <f t="shared" si="18"/>
        <v/>
      </c>
      <c r="CS110" s="88" t="str">
        <f t="shared" si="19"/>
        <v/>
      </c>
      <c r="CT110" s="88" t="str">
        <f t="shared" si="20"/>
        <v/>
      </c>
      <c r="CU110" s="88" t="str">
        <f t="shared" si="21"/>
        <v/>
      </c>
      <c r="CV110" s="88" t="str">
        <f t="shared" si="22"/>
        <v/>
      </c>
      <c r="CW110" s="88" t="str">
        <f t="shared" si="23"/>
        <v/>
      </c>
      <c r="CX110" s="7"/>
      <c r="CY110" s="7"/>
      <c r="CZ110" s="7"/>
      <c r="DA110" s="8"/>
      <c r="DU110" s="93" t="str">
        <f t="shared" si="24"/>
        <v/>
      </c>
      <c r="DV110" s="104" t="str">
        <f>ABA!$A110</f>
        <v/>
      </c>
      <c r="DW110" s="98" t="str">
        <f t="shared" si="25"/>
        <v/>
      </c>
    </row>
    <row r="111" ht="15.75" customHeight="1">
      <c r="A111" s="78"/>
      <c r="B111" s="105"/>
      <c r="C111" s="82"/>
      <c r="D111" s="82"/>
      <c r="E111" s="83"/>
      <c r="F111" s="82"/>
      <c r="G111" s="82"/>
      <c r="H111" s="82"/>
      <c r="I111" s="83"/>
      <c r="J111" s="82"/>
      <c r="K111" s="82"/>
      <c r="L111" s="82"/>
      <c r="M111" s="83"/>
      <c r="N111" s="82"/>
      <c r="O111" s="82"/>
      <c r="P111" s="82"/>
      <c r="Q111" s="83"/>
      <c r="R111" s="82"/>
      <c r="S111" s="82"/>
      <c r="T111" s="82"/>
      <c r="U111" s="83"/>
      <c r="V111" s="82"/>
      <c r="W111" s="82"/>
      <c r="X111" s="82"/>
      <c r="Y111" s="83"/>
      <c r="Z111" s="82"/>
      <c r="AA111" s="82"/>
      <c r="AB111" s="82"/>
      <c r="AC111" s="83"/>
      <c r="AD111" s="82"/>
      <c r="AE111" s="82"/>
      <c r="AF111" s="82"/>
      <c r="AG111" s="83"/>
      <c r="AH111" s="82"/>
      <c r="AI111" s="82"/>
      <c r="AJ111" s="82"/>
      <c r="AK111" s="83"/>
      <c r="AL111" s="82"/>
      <c r="AM111" s="82"/>
      <c r="AN111" s="82"/>
      <c r="AO111" s="82"/>
      <c r="AP111" s="84" t="str">
        <f t="shared" si="2"/>
        <v/>
      </c>
      <c r="AQ111" s="9"/>
      <c r="AR111" s="9"/>
      <c r="AS111" s="8"/>
      <c r="AT111" s="9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8"/>
      <c r="BX111" s="9"/>
      <c r="BY111" s="9"/>
      <c r="BZ111" s="9"/>
      <c r="CA111" s="33"/>
      <c r="CB111" s="85" t="str">
        <f t="shared" si="3"/>
        <v/>
      </c>
      <c r="CC111" s="86" t="str">
        <f t="shared" si="4"/>
        <v/>
      </c>
      <c r="CD111" s="86" t="str">
        <f t="shared" si="5"/>
        <v/>
      </c>
      <c r="CE111" s="86" t="str">
        <f t="shared" si="6"/>
        <v/>
      </c>
      <c r="CF111" s="86" t="str">
        <f t="shared" si="7"/>
        <v/>
      </c>
      <c r="CG111" s="86" t="str">
        <f t="shared" si="8"/>
        <v/>
      </c>
      <c r="CH111" s="86" t="str">
        <f t="shared" si="9"/>
        <v/>
      </c>
      <c r="CI111" s="86" t="str">
        <f t="shared" si="10"/>
        <v/>
      </c>
      <c r="CJ111" s="86" t="str">
        <f t="shared" si="11"/>
        <v/>
      </c>
      <c r="CK111" s="86" t="str">
        <f t="shared" si="12"/>
        <v/>
      </c>
      <c r="CL111" s="86" t="str">
        <f t="shared" si="13"/>
        <v/>
      </c>
      <c r="CM111" s="87" t="str">
        <f t="shared" si="14"/>
        <v/>
      </c>
      <c r="CN111" s="88" t="str">
        <f t="shared" si="26"/>
        <v/>
      </c>
      <c r="CO111" s="88" t="str">
        <f t="shared" si="15"/>
        <v/>
      </c>
      <c r="CP111" s="88" t="str">
        <f t="shared" si="16"/>
        <v/>
      </c>
      <c r="CQ111" s="88" t="str">
        <f t="shared" si="17"/>
        <v/>
      </c>
      <c r="CR111" s="88" t="str">
        <f t="shared" si="18"/>
        <v/>
      </c>
      <c r="CS111" s="88" t="str">
        <f t="shared" si="19"/>
        <v/>
      </c>
      <c r="CT111" s="88" t="str">
        <f t="shared" si="20"/>
        <v/>
      </c>
      <c r="CU111" s="88" t="str">
        <f t="shared" si="21"/>
        <v/>
      </c>
      <c r="CV111" s="88" t="str">
        <f t="shared" si="22"/>
        <v/>
      </c>
      <c r="CW111" s="88" t="str">
        <f t="shared" si="23"/>
        <v/>
      </c>
      <c r="CX111" s="7"/>
      <c r="CY111" s="7"/>
      <c r="CZ111" s="7"/>
      <c r="DA111" s="8"/>
      <c r="DU111" s="104" t="str">
        <f t="shared" si="24"/>
        <v/>
      </c>
      <c r="DV111" s="93" t="str">
        <f>ABA!$A111</f>
        <v/>
      </c>
      <c r="DW111" s="82" t="str">
        <f t="shared" si="25"/>
        <v/>
      </c>
    </row>
    <row r="112" ht="15.75" customHeight="1">
      <c r="A112" s="85"/>
      <c r="B112" s="107"/>
      <c r="C112" s="98"/>
      <c r="D112" s="98"/>
      <c r="E112" s="99"/>
      <c r="F112" s="98"/>
      <c r="G112" s="98"/>
      <c r="H112" s="98"/>
      <c r="I112" s="99"/>
      <c r="J112" s="98"/>
      <c r="K112" s="98"/>
      <c r="L112" s="98"/>
      <c r="M112" s="99"/>
      <c r="N112" s="98"/>
      <c r="O112" s="98"/>
      <c r="P112" s="98"/>
      <c r="Q112" s="99"/>
      <c r="R112" s="98"/>
      <c r="S112" s="98"/>
      <c r="T112" s="98"/>
      <c r="U112" s="99"/>
      <c r="V112" s="98"/>
      <c r="W112" s="98"/>
      <c r="X112" s="98"/>
      <c r="Y112" s="100"/>
      <c r="Z112" s="98"/>
      <c r="AA112" s="98"/>
      <c r="AB112" s="98"/>
      <c r="AC112" s="99"/>
      <c r="AD112" s="98"/>
      <c r="AE112" s="98"/>
      <c r="AF112" s="98"/>
      <c r="AG112" s="99"/>
      <c r="AH112" s="98"/>
      <c r="AI112" s="98"/>
      <c r="AJ112" s="98"/>
      <c r="AK112" s="99"/>
      <c r="AL112" s="98"/>
      <c r="AM112" s="98"/>
      <c r="AN112" s="98"/>
      <c r="AO112" s="98"/>
      <c r="AP112" s="84" t="str">
        <f t="shared" si="2"/>
        <v/>
      </c>
      <c r="AQ112" s="9"/>
      <c r="AR112" s="9"/>
      <c r="AS112" s="8"/>
      <c r="AT112" s="9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8"/>
      <c r="BX112" s="9"/>
      <c r="BY112" s="9"/>
      <c r="BZ112" s="9"/>
      <c r="CA112" s="33"/>
      <c r="CB112" s="85" t="str">
        <f t="shared" si="3"/>
        <v/>
      </c>
      <c r="CC112" s="86" t="str">
        <f t="shared" si="4"/>
        <v/>
      </c>
      <c r="CD112" s="86" t="str">
        <f t="shared" si="5"/>
        <v/>
      </c>
      <c r="CE112" s="86" t="str">
        <f t="shared" si="6"/>
        <v/>
      </c>
      <c r="CF112" s="86" t="str">
        <f t="shared" si="7"/>
        <v/>
      </c>
      <c r="CG112" s="86" t="str">
        <f t="shared" si="8"/>
        <v/>
      </c>
      <c r="CH112" s="86" t="str">
        <f t="shared" si="9"/>
        <v/>
      </c>
      <c r="CI112" s="86" t="str">
        <f t="shared" si="10"/>
        <v/>
      </c>
      <c r="CJ112" s="86" t="str">
        <f t="shared" si="11"/>
        <v/>
      </c>
      <c r="CK112" s="86" t="str">
        <f t="shared" si="12"/>
        <v/>
      </c>
      <c r="CL112" s="86" t="str">
        <f t="shared" si="13"/>
        <v/>
      </c>
      <c r="CM112" s="87" t="str">
        <f t="shared" si="14"/>
        <v/>
      </c>
      <c r="CN112" s="88" t="str">
        <f t="shared" si="26"/>
        <v/>
      </c>
      <c r="CO112" s="88" t="str">
        <f t="shared" si="15"/>
        <v/>
      </c>
      <c r="CP112" s="88" t="str">
        <f t="shared" si="16"/>
        <v/>
      </c>
      <c r="CQ112" s="88" t="str">
        <f t="shared" si="17"/>
        <v/>
      </c>
      <c r="CR112" s="88" t="str">
        <f t="shared" si="18"/>
        <v/>
      </c>
      <c r="CS112" s="88" t="str">
        <f t="shared" si="19"/>
        <v/>
      </c>
      <c r="CT112" s="88" t="str">
        <f t="shared" si="20"/>
        <v/>
      </c>
      <c r="CU112" s="88" t="str">
        <f t="shared" si="21"/>
        <v/>
      </c>
      <c r="CV112" s="88" t="str">
        <f t="shared" si="22"/>
        <v/>
      </c>
      <c r="CW112" s="88" t="str">
        <f t="shared" si="23"/>
        <v/>
      </c>
      <c r="CX112" s="7"/>
      <c r="CY112" s="7"/>
      <c r="CZ112" s="7"/>
      <c r="DA112" s="8"/>
      <c r="DU112" s="93" t="str">
        <f t="shared" si="24"/>
        <v/>
      </c>
      <c r="DV112" s="104" t="str">
        <f>ABA!$A112</f>
        <v/>
      </c>
      <c r="DW112" s="98" t="str">
        <f t="shared" si="25"/>
        <v/>
      </c>
    </row>
    <row r="113" ht="15.75" customHeight="1">
      <c r="A113" s="78"/>
      <c r="B113" s="105"/>
      <c r="C113" s="82"/>
      <c r="D113" s="82"/>
      <c r="E113" s="83"/>
      <c r="F113" s="82"/>
      <c r="G113" s="82"/>
      <c r="H113" s="82"/>
      <c r="I113" s="83"/>
      <c r="J113" s="82"/>
      <c r="K113" s="82"/>
      <c r="L113" s="82"/>
      <c r="M113" s="83"/>
      <c r="N113" s="82"/>
      <c r="O113" s="82"/>
      <c r="P113" s="82"/>
      <c r="Q113" s="83"/>
      <c r="R113" s="82"/>
      <c r="S113" s="82"/>
      <c r="T113" s="82"/>
      <c r="U113" s="83"/>
      <c r="V113" s="82"/>
      <c r="W113" s="82"/>
      <c r="X113" s="82"/>
      <c r="Y113" s="83"/>
      <c r="Z113" s="82"/>
      <c r="AA113" s="82"/>
      <c r="AB113" s="82"/>
      <c r="AC113" s="83"/>
      <c r="AD113" s="82"/>
      <c r="AE113" s="82"/>
      <c r="AF113" s="82"/>
      <c r="AG113" s="83"/>
      <c r="AH113" s="82"/>
      <c r="AI113" s="82"/>
      <c r="AJ113" s="82"/>
      <c r="AK113" s="83"/>
      <c r="AL113" s="82"/>
      <c r="AM113" s="82"/>
      <c r="AN113" s="82"/>
      <c r="AO113" s="82"/>
      <c r="AP113" s="84" t="str">
        <f t="shared" si="2"/>
        <v/>
      </c>
      <c r="AQ113" s="9"/>
      <c r="AR113" s="9"/>
      <c r="AS113" s="8"/>
      <c r="AT113" s="9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8"/>
      <c r="BX113" s="9"/>
      <c r="BY113" s="9"/>
      <c r="BZ113" s="9"/>
      <c r="CA113" s="33"/>
      <c r="CB113" s="85" t="str">
        <f t="shared" si="3"/>
        <v/>
      </c>
      <c r="CC113" s="86" t="str">
        <f t="shared" si="4"/>
        <v/>
      </c>
      <c r="CD113" s="86" t="str">
        <f t="shared" si="5"/>
        <v/>
      </c>
      <c r="CE113" s="86" t="str">
        <f t="shared" si="6"/>
        <v/>
      </c>
      <c r="CF113" s="86" t="str">
        <f t="shared" si="7"/>
        <v/>
      </c>
      <c r="CG113" s="86" t="str">
        <f t="shared" si="8"/>
        <v/>
      </c>
      <c r="CH113" s="86" t="str">
        <f t="shared" si="9"/>
        <v/>
      </c>
      <c r="CI113" s="86" t="str">
        <f t="shared" si="10"/>
        <v/>
      </c>
      <c r="CJ113" s="86" t="str">
        <f t="shared" si="11"/>
        <v/>
      </c>
      <c r="CK113" s="86" t="str">
        <f t="shared" si="12"/>
        <v/>
      </c>
      <c r="CL113" s="86" t="str">
        <f t="shared" si="13"/>
        <v/>
      </c>
      <c r="CM113" s="87" t="str">
        <f t="shared" si="14"/>
        <v/>
      </c>
      <c r="CN113" s="88" t="str">
        <f t="shared" si="26"/>
        <v/>
      </c>
      <c r="CO113" s="88" t="str">
        <f t="shared" si="15"/>
        <v/>
      </c>
      <c r="CP113" s="88" t="str">
        <f t="shared" si="16"/>
        <v/>
      </c>
      <c r="CQ113" s="88" t="str">
        <f t="shared" si="17"/>
        <v/>
      </c>
      <c r="CR113" s="88" t="str">
        <f t="shared" si="18"/>
        <v/>
      </c>
      <c r="CS113" s="88" t="str">
        <f t="shared" si="19"/>
        <v/>
      </c>
      <c r="CT113" s="88" t="str">
        <f t="shared" si="20"/>
        <v/>
      </c>
      <c r="CU113" s="88" t="str">
        <f t="shared" si="21"/>
        <v/>
      </c>
      <c r="CV113" s="88" t="str">
        <f t="shared" si="22"/>
        <v/>
      </c>
      <c r="CW113" s="88" t="str">
        <f t="shared" si="23"/>
        <v/>
      </c>
      <c r="CX113" s="7"/>
      <c r="CY113" s="7"/>
      <c r="CZ113" s="7"/>
      <c r="DA113" s="8"/>
      <c r="DU113" s="104" t="str">
        <f t="shared" si="24"/>
        <v/>
      </c>
      <c r="DV113" s="93" t="str">
        <f>ABA!$A113</f>
        <v/>
      </c>
      <c r="DW113" s="82" t="str">
        <f t="shared" si="25"/>
        <v/>
      </c>
    </row>
    <row r="114" ht="15.75" customHeight="1">
      <c r="A114" s="85"/>
      <c r="B114" s="107"/>
      <c r="C114" s="98"/>
      <c r="D114" s="98"/>
      <c r="E114" s="99"/>
      <c r="F114" s="98"/>
      <c r="G114" s="98"/>
      <c r="H114" s="98"/>
      <c r="I114" s="99"/>
      <c r="J114" s="98"/>
      <c r="K114" s="98"/>
      <c r="L114" s="98"/>
      <c r="M114" s="99"/>
      <c r="N114" s="98"/>
      <c r="O114" s="98"/>
      <c r="P114" s="98"/>
      <c r="Q114" s="99"/>
      <c r="R114" s="98"/>
      <c r="S114" s="98"/>
      <c r="T114" s="98"/>
      <c r="U114" s="99"/>
      <c r="V114" s="98"/>
      <c r="W114" s="98"/>
      <c r="X114" s="98"/>
      <c r="Y114" s="100"/>
      <c r="Z114" s="98"/>
      <c r="AA114" s="98"/>
      <c r="AB114" s="98"/>
      <c r="AC114" s="99"/>
      <c r="AD114" s="98"/>
      <c r="AE114" s="98"/>
      <c r="AF114" s="98"/>
      <c r="AG114" s="99"/>
      <c r="AH114" s="98"/>
      <c r="AI114" s="98"/>
      <c r="AJ114" s="98"/>
      <c r="AK114" s="99"/>
      <c r="AL114" s="98"/>
      <c r="AM114" s="98"/>
      <c r="AN114" s="98"/>
      <c r="AO114" s="98"/>
      <c r="AP114" s="84" t="str">
        <f t="shared" si="2"/>
        <v/>
      </c>
      <c r="AQ114" s="9"/>
      <c r="AR114" s="9"/>
      <c r="AS114" s="8"/>
      <c r="AT114" s="9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8"/>
      <c r="BX114" s="9"/>
      <c r="BY114" s="9"/>
      <c r="BZ114" s="9"/>
      <c r="CA114" s="33"/>
      <c r="CB114" s="85" t="str">
        <f t="shared" si="3"/>
        <v/>
      </c>
      <c r="CC114" s="86" t="str">
        <f t="shared" si="4"/>
        <v/>
      </c>
      <c r="CD114" s="86" t="str">
        <f t="shared" si="5"/>
        <v/>
      </c>
      <c r="CE114" s="86" t="str">
        <f t="shared" si="6"/>
        <v/>
      </c>
      <c r="CF114" s="86" t="str">
        <f t="shared" si="7"/>
        <v/>
      </c>
      <c r="CG114" s="86" t="str">
        <f t="shared" si="8"/>
        <v/>
      </c>
      <c r="CH114" s="86" t="str">
        <f t="shared" si="9"/>
        <v/>
      </c>
      <c r="CI114" s="86" t="str">
        <f t="shared" si="10"/>
        <v/>
      </c>
      <c r="CJ114" s="86" t="str">
        <f t="shared" si="11"/>
        <v/>
      </c>
      <c r="CK114" s="86" t="str">
        <f t="shared" si="12"/>
        <v/>
      </c>
      <c r="CL114" s="86" t="str">
        <f t="shared" si="13"/>
        <v/>
      </c>
      <c r="CM114" s="87" t="str">
        <f t="shared" si="14"/>
        <v/>
      </c>
      <c r="CN114" s="88" t="str">
        <f t="shared" si="26"/>
        <v/>
      </c>
      <c r="CO114" s="88" t="str">
        <f t="shared" si="15"/>
        <v/>
      </c>
      <c r="CP114" s="88" t="str">
        <f t="shared" si="16"/>
        <v/>
      </c>
      <c r="CQ114" s="88" t="str">
        <f t="shared" si="17"/>
        <v/>
      </c>
      <c r="CR114" s="88" t="str">
        <f t="shared" si="18"/>
        <v/>
      </c>
      <c r="CS114" s="88" t="str">
        <f t="shared" si="19"/>
        <v/>
      </c>
      <c r="CT114" s="88" t="str">
        <f t="shared" si="20"/>
        <v/>
      </c>
      <c r="CU114" s="88" t="str">
        <f t="shared" si="21"/>
        <v/>
      </c>
      <c r="CV114" s="88" t="str">
        <f t="shared" si="22"/>
        <v/>
      </c>
      <c r="CW114" s="88" t="str">
        <f t="shared" si="23"/>
        <v/>
      </c>
      <c r="CX114" s="7"/>
      <c r="CY114" s="7"/>
      <c r="CZ114" s="7"/>
      <c r="DA114" s="8"/>
      <c r="DU114" s="93" t="str">
        <f t="shared" si="24"/>
        <v/>
      </c>
      <c r="DV114" s="104" t="str">
        <f>ABA!$A114</f>
        <v/>
      </c>
      <c r="DW114" s="98" t="str">
        <f t="shared" si="25"/>
        <v/>
      </c>
    </row>
    <row r="115" ht="15.75" customHeight="1">
      <c r="A115" s="78"/>
      <c r="B115" s="105"/>
      <c r="C115" s="82"/>
      <c r="D115" s="82"/>
      <c r="E115" s="83"/>
      <c r="F115" s="82"/>
      <c r="G115" s="82"/>
      <c r="H115" s="82"/>
      <c r="I115" s="83"/>
      <c r="J115" s="82"/>
      <c r="K115" s="82"/>
      <c r="L115" s="82"/>
      <c r="M115" s="83"/>
      <c r="N115" s="82"/>
      <c r="O115" s="82"/>
      <c r="P115" s="82"/>
      <c r="Q115" s="83"/>
      <c r="R115" s="82"/>
      <c r="S115" s="82"/>
      <c r="T115" s="82"/>
      <c r="U115" s="83"/>
      <c r="V115" s="82"/>
      <c r="W115" s="82"/>
      <c r="X115" s="82"/>
      <c r="Y115" s="83"/>
      <c r="Z115" s="82"/>
      <c r="AA115" s="82"/>
      <c r="AB115" s="82"/>
      <c r="AC115" s="83"/>
      <c r="AD115" s="82"/>
      <c r="AE115" s="82"/>
      <c r="AF115" s="82"/>
      <c r="AG115" s="83"/>
      <c r="AH115" s="82"/>
      <c r="AI115" s="82"/>
      <c r="AJ115" s="82"/>
      <c r="AK115" s="83"/>
      <c r="AL115" s="82"/>
      <c r="AM115" s="82"/>
      <c r="AN115" s="82"/>
      <c r="AO115" s="82"/>
      <c r="AP115" s="84" t="str">
        <f t="shared" si="2"/>
        <v/>
      </c>
      <c r="AQ115" s="9"/>
      <c r="AR115" s="9"/>
      <c r="AS115" s="8"/>
      <c r="AT115" s="9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8"/>
      <c r="BX115" s="9"/>
      <c r="BY115" s="9"/>
      <c r="BZ115" s="9"/>
      <c r="CA115" s="33"/>
      <c r="CB115" s="85" t="str">
        <f t="shared" si="3"/>
        <v/>
      </c>
      <c r="CC115" s="86" t="str">
        <f t="shared" si="4"/>
        <v/>
      </c>
      <c r="CD115" s="86" t="str">
        <f t="shared" si="5"/>
        <v/>
      </c>
      <c r="CE115" s="86" t="str">
        <f t="shared" si="6"/>
        <v/>
      </c>
      <c r="CF115" s="86" t="str">
        <f t="shared" si="7"/>
        <v/>
      </c>
      <c r="CG115" s="86" t="str">
        <f t="shared" si="8"/>
        <v/>
      </c>
      <c r="CH115" s="86" t="str">
        <f t="shared" si="9"/>
        <v/>
      </c>
      <c r="CI115" s="86" t="str">
        <f t="shared" si="10"/>
        <v/>
      </c>
      <c r="CJ115" s="86" t="str">
        <f t="shared" si="11"/>
        <v/>
      </c>
      <c r="CK115" s="86" t="str">
        <f t="shared" si="12"/>
        <v/>
      </c>
      <c r="CL115" s="86" t="str">
        <f t="shared" si="13"/>
        <v/>
      </c>
      <c r="CM115" s="87" t="str">
        <f t="shared" si="14"/>
        <v/>
      </c>
      <c r="CN115" s="88" t="str">
        <f t="shared" si="26"/>
        <v/>
      </c>
      <c r="CO115" s="88" t="str">
        <f t="shared" si="15"/>
        <v/>
      </c>
      <c r="CP115" s="88" t="str">
        <f t="shared" si="16"/>
        <v/>
      </c>
      <c r="CQ115" s="88" t="str">
        <f t="shared" si="17"/>
        <v/>
      </c>
      <c r="CR115" s="88" t="str">
        <f t="shared" si="18"/>
        <v/>
      </c>
      <c r="CS115" s="88" t="str">
        <f t="shared" si="19"/>
        <v/>
      </c>
      <c r="CT115" s="88" t="str">
        <f t="shared" si="20"/>
        <v/>
      </c>
      <c r="CU115" s="88" t="str">
        <f t="shared" si="21"/>
        <v/>
      </c>
      <c r="CV115" s="88" t="str">
        <f t="shared" si="22"/>
        <v/>
      </c>
      <c r="CW115" s="88" t="str">
        <f t="shared" si="23"/>
        <v/>
      </c>
      <c r="CX115" s="7"/>
      <c r="CY115" s="7"/>
      <c r="CZ115" s="7"/>
      <c r="DA115" s="8"/>
      <c r="DU115" s="104" t="str">
        <f t="shared" si="24"/>
        <v/>
      </c>
      <c r="DV115" s="93" t="str">
        <f>ABA!$A115</f>
        <v/>
      </c>
      <c r="DW115" s="82" t="str">
        <f t="shared" si="25"/>
        <v/>
      </c>
    </row>
    <row r="116" ht="15.75" customHeight="1">
      <c r="A116" s="85"/>
      <c r="B116" s="107"/>
      <c r="C116" s="98"/>
      <c r="D116" s="98"/>
      <c r="E116" s="99"/>
      <c r="F116" s="98"/>
      <c r="G116" s="98"/>
      <c r="H116" s="98"/>
      <c r="I116" s="99"/>
      <c r="J116" s="98"/>
      <c r="K116" s="98"/>
      <c r="L116" s="98"/>
      <c r="M116" s="99"/>
      <c r="N116" s="98"/>
      <c r="O116" s="98"/>
      <c r="P116" s="98"/>
      <c r="Q116" s="99"/>
      <c r="R116" s="98"/>
      <c r="S116" s="98"/>
      <c r="T116" s="98"/>
      <c r="U116" s="99"/>
      <c r="V116" s="98"/>
      <c r="W116" s="98"/>
      <c r="X116" s="98"/>
      <c r="Y116" s="100"/>
      <c r="Z116" s="98"/>
      <c r="AA116" s="98"/>
      <c r="AB116" s="98"/>
      <c r="AC116" s="99"/>
      <c r="AD116" s="98"/>
      <c r="AE116" s="98"/>
      <c r="AF116" s="98"/>
      <c r="AG116" s="99"/>
      <c r="AH116" s="98"/>
      <c r="AI116" s="98"/>
      <c r="AJ116" s="98"/>
      <c r="AK116" s="99"/>
      <c r="AL116" s="98"/>
      <c r="AM116" s="98"/>
      <c r="AN116" s="98"/>
      <c r="AO116" s="98"/>
      <c r="AP116" s="84" t="str">
        <f t="shared" si="2"/>
        <v/>
      </c>
      <c r="AQ116" s="9"/>
      <c r="AR116" s="9"/>
      <c r="AS116" s="8"/>
      <c r="AT116" s="9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8"/>
      <c r="BX116" s="9"/>
      <c r="BY116" s="9"/>
      <c r="BZ116" s="9"/>
      <c r="CA116" s="33"/>
      <c r="CB116" s="85" t="str">
        <f t="shared" si="3"/>
        <v/>
      </c>
      <c r="CC116" s="86" t="str">
        <f t="shared" si="4"/>
        <v/>
      </c>
      <c r="CD116" s="86" t="str">
        <f t="shared" si="5"/>
        <v/>
      </c>
      <c r="CE116" s="86" t="str">
        <f t="shared" si="6"/>
        <v/>
      </c>
      <c r="CF116" s="86" t="str">
        <f t="shared" si="7"/>
        <v/>
      </c>
      <c r="CG116" s="86" t="str">
        <f t="shared" si="8"/>
        <v/>
      </c>
      <c r="CH116" s="86" t="str">
        <f t="shared" si="9"/>
        <v/>
      </c>
      <c r="CI116" s="86" t="str">
        <f t="shared" si="10"/>
        <v/>
      </c>
      <c r="CJ116" s="86" t="str">
        <f t="shared" si="11"/>
        <v/>
      </c>
      <c r="CK116" s="86" t="str">
        <f t="shared" si="12"/>
        <v/>
      </c>
      <c r="CL116" s="86" t="str">
        <f t="shared" si="13"/>
        <v/>
      </c>
      <c r="CM116" s="87" t="str">
        <f t="shared" si="14"/>
        <v/>
      </c>
      <c r="CN116" s="88" t="str">
        <f t="shared" si="26"/>
        <v/>
      </c>
      <c r="CO116" s="88" t="str">
        <f t="shared" si="15"/>
        <v/>
      </c>
      <c r="CP116" s="88" t="str">
        <f t="shared" si="16"/>
        <v/>
      </c>
      <c r="CQ116" s="88" t="str">
        <f t="shared" si="17"/>
        <v/>
      </c>
      <c r="CR116" s="88" t="str">
        <f t="shared" si="18"/>
        <v/>
      </c>
      <c r="CS116" s="88" t="str">
        <f t="shared" si="19"/>
        <v/>
      </c>
      <c r="CT116" s="88" t="str">
        <f t="shared" si="20"/>
        <v/>
      </c>
      <c r="CU116" s="88" t="str">
        <f t="shared" si="21"/>
        <v/>
      </c>
      <c r="CV116" s="88" t="str">
        <f t="shared" si="22"/>
        <v/>
      </c>
      <c r="CW116" s="88" t="str">
        <f t="shared" si="23"/>
        <v/>
      </c>
      <c r="CX116" s="7"/>
      <c r="CY116" s="7"/>
      <c r="CZ116" s="7"/>
      <c r="DA116" s="8"/>
      <c r="DU116" s="93" t="str">
        <f t="shared" si="24"/>
        <v/>
      </c>
      <c r="DV116" s="104" t="str">
        <f>ABA!$A116</f>
        <v/>
      </c>
      <c r="DW116" s="98" t="str">
        <f t="shared" si="25"/>
        <v/>
      </c>
    </row>
    <row r="117" ht="15.75" customHeight="1">
      <c r="A117" s="78"/>
      <c r="B117" s="105"/>
      <c r="C117" s="82"/>
      <c r="D117" s="82"/>
      <c r="E117" s="83"/>
      <c r="F117" s="82"/>
      <c r="G117" s="82"/>
      <c r="H117" s="82"/>
      <c r="I117" s="83"/>
      <c r="J117" s="82"/>
      <c r="K117" s="82"/>
      <c r="L117" s="82"/>
      <c r="M117" s="83"/>
      <c r="N117" s="82"/>
      <c r="O117" s="82"/>
      <c r="P117" s="82"/>
      <c r="Q117" s="83"/>
      <c r="R117" s="82"/>
      <c r="S117" s="82"/>
      <c r="T117" s="82"/>
      <c r="U117" s="83"/>
      <c r="V117" s="82"/>
      <c r="W117" s="82"/>
      <c r="X117" s="82"/>
      <c r="Y117" s="83"/>
      <c r="Z117" s="82"/>
      <c r="AA117" s="82"/>
      <c r="AB117" s="82"/>
      <c r="AC117" s="83"/>
      <c r="AD117" s="82"/>
      <c r="AE117" s="82"/>
      <c r="AF117" s="82"/>
      <c r="AG117" s="83"/>
      <c r="AH117" s="82"/>
      <c r="AI117" s="82"/>
      <c r="AJ117" s="82"/>
      <c r="AK117" s="83"/>
      <c r="AL117" s="82"/>
      <c r="AM117" s="82"/>
      <c r="AN117" s="82"/>
      <c r="AO117" s="82"/>
      <c r="AP117" s="84" t="str">
        <f t="shared" si="2"/>
        <v/>
      </c>
      <c r="AQ117" s="9"/>
      <c r="AR117" s="9"/>
      <c r="AS117" s="8"/>
      <c r="AT117" s="9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8"/>
      <c r="BX117" s="9"/>
      <c r="BY117" s="9"/>
      <c r="BZ117" s="9"/>
      <c r="CA117" s="33"/>
      <c r="CB117" s="85" t="str">
        <f t="shared" si="3"/>
        <v/>
      </c>
      <c r="CC117" s="86" t="str">
        <f t="shared" si="4"/>
        <v/>
      </c>
      <c r="CD117" s="86" t="str">
        <f t="shared" si="5"/>
        <v/>
      </c>
      <c r="CE117" s="86" t="str">
        <f t="shared" si="6"/>
        <v/>
      </c>
      <c r="CF117" s="86" t="str">
        <f t="shared" si="7"/>
        <v/>
      </c>
      <c r="CG117" s="86" t="str">
        <f t="shared" si="8"/>
        <v/>
      </c>
      <c r="CH117" s="86" t="str">
        <f t="shared" si="9"/>
        <v/>
      </c>
      <c r="CI117" s="86" t="str">
        <f t="shared" si="10"/>
        <v/>
      </c>
      <c r="CJ117" s="86" t="str">
        <f t="shared" si="11"/>
        <v/>
      </c>
      <c r="CK117" s="86" t="str">
        <f t="shared" si="12"/>
        <v/>
      </c>
      <c r="CL117" s="86" t="str">
        <f t="shared" si="13"/>
        <v/>
      </c>
      <c r="CM117" s="87" t="str">
        <f t="shared" si="14"/>
        <v/>
      </c>
      <c r="CN117" s="88" t="str">
        <f t="shared" si="26"/>
        <v/>
      </c>
      <c r="CO117" s="88" t="str">
        <f t="shared" si="15"/>
        <v/>
      </c>
      <c r="CP117" s="88" t="str">
        <f t="shared" si="16"/>
        <v/>
      </c>
      <c r="CQ117" s="88" t="str">
        <f t="shared" si="17"/>
        <v/>
      </c>
      <c r="CR117" s="88" t="str">
        <f t="shared" si="18"/>
        <v/>
      </c>
      <c r="CS117" s="88" t="str">
        <f t="shared" si="19"/>
        <v/>
      </c>
      <c r="CT117" s="88" t="str">
        <f t="shared" si="20"/>
        <v/>
      </c>
      <c r="CU117" s="88" t="str">
        <f t="shared" si="21"/>
        <v/>
      </c>
      <c r="CV117" s="88" t="str">
        <f t="shared" si="22"/>
        <v/>
      </c>
      <c r="CW117" s="88" t="str">
        <f t="shared" si="23"/>
        <v/>
      </c>
      <c r="CX117" s="7"/>
      <c r="CY117" s="7"/>
      <c r="CZ117" s="7"/>
      <c r="DA117" s="8"/>
      <c r="DU117" s="104" t="str">
        <f t="shared" si="24"/>
        <v/>
      </c>
      <c r="DV117" s="93" t="str">
        <f>ABA!$A117</f>
        <v/>
      </c>
      <c r="DW117" s="82" t="str">
        <f t="shared" si="25"/>
        <v/>
      </c>
    </row>
    <row r="118" ht="15.75" customHeight="1">
      <c r="A118" s="85"/>
      <c r="B118" s="107"/>
      <c r="C118" s="98"/>
      <c r="D118" s="98"/>
      <c r="E118" s="99"/>
      <c r="F118" s="98"/>
      <c r="G118" s="98"/>
      <c r="H118" s="98"/>
      <c r="I118" s="99"/>
      <c r="J118" s="98"/>
      <c r="K118" s="98"/>
      <c r="L118" s="98"/>
      <c r="M118" s="99"/>
      <c r="N118" s="98"/>
      <c r="O118" s="98"/>
      <c r="P118" s="98"/>
      <c r="Q118" s="99"/>
      <c r="R118" s="98"/>
      <c r="S118" s="98"/>
      <c r="T118" s="98"/>
      <c r="U118" s="99"/>
      <c r="V118" s="98"/>
      <c r="W118" s="98"/>
      <c r="X118" s="98"/>
      <c r="Y118" s="100"/>
      <c r="Z118" s="98"/>
      <c r="AA118" s="98"/>
      <c r="AB118" s="98"/>
      <c r="AC118" s="99"/>
      <c r="AD118" s="98"/>
      <c r="AE118" s="98"/>
      <c r="AF118" s="98"/>
      <c r="AG118" s="99"/>
      <c r="AH118" s="98"/>
      <c r="AI118" s="98"/>
      <c r="AJ118" s="98"/>
      <c r="AK118" s="99"/>
      <c r="AL118" s="98"/>
      <c r="AM118" s="98"/>
      <c r="AN118" s="98"/>
      <c r="AO118" s="98"/>
      <c r="AP118" s="84" t="str">
        <f t="shared" si="2"/>
        <v/>
      </c>
      <c r="AQ118" s="9"/>
      <c r="AR118" s="9"/>
      <c r="AS118" s="8"/>
      <c r="AT118" s="9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8"/>
      <c r="BX118" s="9"/>
      <c r="BY118" s="9"/>
      <c r="BZ118" s="9"/>
      <c r="CA118" s="33"/>
      <c r="CB118" s="85" t="str">
        <f t="shared" si="3"/>
        <v/>
      </c>
      <c r="CC118" s="86" t="str">
        <f t="shared" si="4"/>
        <v/>
      </c>
      <c r="CD118" s="86" t="str">
        <f t="shared" si="5"/>
        <v/>
      </c>
      <c r="CE118" s="86" t="str">
        <f t="shared" si="6"/>
        <v/>
      </c>
      <c r="CF118" s="86" t="str">
        <f t="shared" si="7"/>
        <v/>
      </c>
      <c r="CG118" s="86" t="str">
        <f t="shared" si="8"/>
        <v/>
      </c>
      <c r="CH118" s="86" t="str">
        <f t="shared" si="9"/>
        <v/>
      </c>
      <c r="CI118" s="86" t="str">
        <f t="shared" si="10"/>
        <v/>
      </c>
      <c r="CJ118" s="86" t="str">
        <f t="shared" si="11"/>
        <v/>
      </c>
      <c r="CK118" s="86" t="str">
        <f t="shared" si="12"/>
        <v/>
      </c>
      <c r="CL118" s="86" t="str">
        <f t="shared" si="13"/>
        <v/>
      </c>
      <c r="CM118" s="87" t="str">
        <f t="shared" si="14"/>
        <v/>
      </c>
      <c r="CN118" s="88" t="str">
        <f t="shared" si="26"/>
        <v/>
      </c>
      <c r="CO118" s="88" t="str">
        <f t="shared" si="15"/>
        <v/>
      </c>
      <c r="CP118" s="88" t="str">
        <f t="shared" si="16"/>
        <v/>
      </c>
      <c r="CQ118" s="88" t="str">
        <f t="shared" si="17"/>
        <v/>
      </c>
      <c r="CR118" s="88" t="str">
        <f t="shared" si="18"/>
        <v/>
      </c>
      <c r="CS118" s="88" t="str">
        <f t="shared" si="19"/>
        <v/>
      </c>
      <c r="CT118" s="88" t="str">
        <f t="shared" si="20"/>
        <v/>
      </c>
      <c r="CU118" s="88" t="str">
        <f t="shared" si="21"/>
        <v/>
      </c>
      <c r="CV118" s="88" t="str">
        <f t="shared" si="22"/>
        <v/>
      </c>
      <c r="CW118" s="88" t="str">
        <f t="shared" si="23"/>
        <v/>
      </c>
      <c r="CX118" s="7"/>
      <c r="CY118" s="7"/>
      <c r="CZ118" s="7"/>
      <c r="DA118" s="8"/>
      <c r="DU118" s="93" t="str">
        <f t="shared" si="24"/>
        <v/>
      </c>
      <c r="DV118" s="104" t="str">
        <f>ABA!$A118</f>
        <v/>
      </c>
      <c r="DW118" s="98" t="str">
        <f t="shared" si="25"/>
        <v/>
      </c>
    </row>
    <row r="119" ht="15.75" customHeight="1">
      <c r="A119" s="78"/>
      <c r="B119" s="105"/>
      <c r="C119" s="82"/>
      <c r="D119" s="82"/>
      <c r="E119" s="83"/>
      <c r="F119" s="82"/>
      <c r="G119" s="82"/>
      <c r="H119" s="82"/>
      <c r="I119" s="83"/>
      <c r="J119" s="82"/>
      <c r="K119" s="82"/>
      <c r="L119" s="82"/>
      <c r="M119" s="83"/>
      <c r="N119" s="82"/>
      <c r="O119" s="82"/>
      <c r="P119" s="82"/>
      <c r="Q119" s="83"/>
      <c r="R119" s="82"/>
      <c r="S119" s="82"/>
      <c r="T119" s="82"/>
      <c r="U119" s="83"/>
      <c r="V119" s="82"/>
      <c r="W119" s="82"/>
      <c r="X119" s="82"/>
      <c r="Y119" s="83"/>
      <c r="Z119" s="82"/>
      <c r="AA119" s="82"/>
      <c r="AB119" s="82"/>
      <c r="AC119" s="83"/>
      <c r="AD119" s="82"/>
      <c r="AE119" s="82"/>
      <c r="AF119" s="82"/>
      <c r="AG119" s="83"/>
      <c r="AH119" s="82"/>
      <c r="AI119" s="82"/>
      <c r="AJ119" s="82"/>
      <c r="AK119" s="83"/>
      <c r="AL119" s="82"/>
      <c r="AM119" s="82"/>
      <c r="AN119" s="82"/>
      <c r="AO119" s="82"/>
      <c r="AP119" s="84" t="str">
        <f t="shared" si="2"/>
        <v/>
      </c>
      <c r="AQ119" s="9"/>
      <c r="AR119" s="9"/>
      <c r="AS119" s="8"/>
      <c r="AT119" s="9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8"/>
      <c r="BX119" s="9"/>
      <c r="BY119" s="9"/>
      <c r="BZ119" s="9"/>
      <c r="CA119" s="33"/>
      <c r="CB119" s="85" t="str">
        <f t="shared" si="3"/>
        <v/>
      </c>
      <c r="CC119" s="86" t="str">
        <f t="shared" si="4"/>
        <v/>
      </c>
      <c r="CD119" s="86" t="str">
        <f t="shared" si="5"/>
        <v/>
      </c>
      <c r="CE119" s="86" t="str">
        <f t="shared" si="6"/>
        <v/>
      </c>
      <c r="CF119" s="86" t="str">
        <f t="shared" si="7"/>
        <v/>
      </c>
      <c r="CG119" s="86" t="str">
        <f t="shared" si="8"/>
        <v/>
      </c>
      <c r="CH119" s="86" t="str">
        <f t="shared" si="9"/>
        <v/>
      </c>
      <c r="CI119" s="86" t="str">
        <f t="shared" si="10"/>
        <v/>
      </c>
      <c r="CJ119" s="86" t="str">
        <f t="shared" si="11"/>
        <v/>
      </c>
      <c r="CK119" s="86" t="str">
        <f t="shared" si="12"/>
        <v/>
      </c>
      <c r="CL119" s="86" t="str">
        <f t="shared" si="13"/>
        <v/>
      </c>
      <c r="CM119" s="87" t="str">
        <f t="shared" si="14"/>
        <v/>
      </c>
      <c r="CN119" s="88" t="str">
        <f t="shared" si="26"/>
        <v/>
      </c>
      <c r="CO119" s="88" t="str">
        <f t="shared" si="15"/>
        <v/>
      </c>
      <c r="CP119" s="88" t="str">
        <f t="shared" si="16"/>
        <v/>
      </c>
      <c r="CQ119" s="88" t="str">
        <f t="shared" si="17"/>
        <v/>
      </c>
      <c r="CR119" s="88" t="str">
        <f t="shared" si="18"/>
        <v/>
      </c>
      <c r="CS119" s="88" t="str">
        <f t="shared" si="19"/>
        <v/>
      </c>
      <c r="CT119" s="88" t="str">
        <f t="shared" si="20"/>
        <v/>
      </c>
      <c r="CU119" s="88" t="str">
        <f t="shared" si="21"/>
        <v/>
      </c>
      <c r="CV119" s="88" t="str">
        <f t="shared" si="22"/>
        <v/>
      </c>
      <c r="CW119" s="88" t="str">
        <f t="shared" si="23"/>
        <v/>
      </c>
      <c r="CX119" s="7"/>
      <c r="CY119" s="7"/>
      <c r="CZ119" s="7"/>
      <c r="DA119" s="8"/>
      <c r="DU119" s="104" t="str">
        <f t="shared" si="24"/>
        <v/>
      </c>
      <c r="DV119" s="93" t="str">
        <f>ABA!$A119</f>
        <v/>
      </c>
      <c r="DW119" s="82" t="str">
        <f t="shared" si="25"/>
        <v/>
      </c>
    </row>
    <row r="120" ht="15.75" customHeight="1">
      <c r="A120" s="85"/>
      <c r="B120" s="107"/>
      <c r="C120" s="98"/>
      <c r="D120" s="98"/>
      <c r="E120" s="99"/>
      <c r="F120" s="98"/>
      <c r="G120" s="98"/>
      <c r="H120" s="98"/>
      <c r="I120" s="99"/>
      <c r="J120" s="98"/>
      <c r="K120" s="98"/>
      <c r="L120" s="98"/>
      <c r="M120" s="99"/>
      <c r="N120" s="98"/>
      <c r="O120" s="98"/>
      <c r="P120" s="98"/>
      <c r="Q120" s="99"/>
      <c r="R120" s="98"/>
      <c r="S120" s="98"/>
      <c r="T120" s="98"/>
      <c r="U120" s="99"/>
      <c r="V120" s="98"/>
      <c r="W120" s="98"/>
      <c r="X120" s="98"/>
      <c r="Y120" s="100"/>
      <c r="Z120" s="98"/>
      <c r="AA120" s="98"/>
      <c r="AB120" s="98"/>
      <c r="AC120" s="99"/>
      <c r="AD120" s="98"/>
      <c r="AE120" s="98"/>
      <c r="AF120" s="98"/>
      <c r="AG120" s="99"/>
      <c r="AH120" s="98"/>
      <c r="AI120" s="98"/>
      <c r="AJ120" s="98"/>
      <c r="AK120" s="99"/>
      <c r="AL120" s="98"/>
      <c r="AM120" s="98"/>
      <c r="AN120" s="98"/>
      <c r="AO120" s="98"/>
      <c r="AP120" s="84" t="str">
        <f t="shared" si="2"/>
        <v/>
      </c>
      <c r="AQ120" s="9"/>
      <c r="AR120" s="9"/>
      <c r="AS120" s="8"/>
      <c r="AT120" s="9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8"/>
      <c r="BX120" s="9"/>
      <c r="BY120" s="9"/>
      <c r="BZ120" s="9"/>
      <c r="CA120" s="33"/>
      <c r="CB120" s="85" t="str">
        <f t="shared" si="3"/>
        <v/>
      </c>
      <c r="CC120" s="86" t="str">
        <f t="shared" si="4"/>
        <v/>
      </c>
      <c r="CD120" s="86" t="str">
        <f t="shared" si="5"/>
        <v/>
      </c>
      <c r="CE120" s="86" t="str">
        <f t="shared" si="6"/>
        <v/>
      </c>
      <c r="CF120" s="86" t="str">
        <f t="shared" si="7"/>
        <v/>
      </c>
      <c r="CG120" s="86" t="str">
        <f t="shared" si="8"/>
        <v/>
      </c>
      <c r="CH120" s="86" t="str">
        <f t="shared" si="9"/>
        <v/>
      </c>
      <c r="CI120" s="86" t="str">
        <f t="shared" si="10"/>
        <v/>
      </c>
      <c r="CJ120" s="86" t="str">
        <f t="shared" si="11"/>
        <v/>
      </c>
      <c r="CK120" s="86" t="str">
        <f t="shared" si="12"/>
        <v/>
      </c>
      <c r="CL120" s="86" t="str">
        <f t="shared" si="13"/>
        <v/>
      </c>
      <c r="CM120" s="87" t="str">
        <f t="shared" si="14"/>
        <v/>
      </c>
      <c r="CN120" s="88" t="str">
        <f t="shared" si="26"/>
        <v/>
      </c>
      <c r="CO120" s="88" t="str">
        <f t="shared" si="15"/>
        <v/>
      </c>
      <c r="CP120" s="88" t="str">
        <f t="shared" si="16"/>
        <v/>
      </c>
      <c r="CQ120" s="88" t="str">
        <f t="shared" si="17"/>
        <v/>
      </c>
      <c r="CR120" s="88" t="str">
        <f t="shared" si="18"/>
        <v/>
      </c>
      <c r="CS120" s="88" t="str">
        <f t="shared" si="19"/>
        <v/>
      </c>
      <c r="CT120" s="88" t="str">
        <f t="shared" si="20"/>
        <v/>
      </c>
      <c r="CU120" s="88" t="str">
        <f t="shared" si="21"/>
        <v/>
      </c>
      <c r="CV120" s="88" t="str">
        <f t="shared" si="22"/>
        <v/>
      </c>
      <c r="CW120" s="88" t="str">
        <f t="shared" si="23"/>
        <v/>
      </c>
      <c r="CX120" s="7"/>
      <c r="CY120" s="7"/>
      <c r="CZ120" s="7"/>
      <c r="DA120" s="8"/>
      <c r="DU120" s="93" t="str">
        <f t="shared" si="24"/>
        <v/>
      </c>
      <c r="DV120" s="104" t="str">
        <f>ABA!$A120</f>
        <v/>
      </c>
      <c r="DW120" s="98" t="str">
        <f t="shared" si="25"/>
        <v/>
      </c>
    </row>
    <row r="121" ht="15.75" customHeight="1">
      <c r="A121" s="78"/>
      <c r="B121" s="105"/>
      <c r="C121" s="82"/>
      <c r="D121" s="82"/>
      <c r="E121" s="83"/>
      <c r="F121" s="82"/>
      <c r="G121" s="82"/>
      <c r="H121" s="82"/>
      <c r="I121" s="83"/>
      <c r="J121" s="82"/>
      <c r="K121" s="82"/>
      <c r="L121" s="82"/>
      <c r="M121" s="83"/>
      <c r="N121" s="82"/>
      <c r="O121" s="82"/>
      <c r="P121" s="82"/>
      <c r="Q121" s="83"/>
      <c r="R121" s="82"/>
      <c r="S121" s="82"/>
      <c r="T121" s="82"/>
      <c r="U121" s="83"/>
      <c r="V121" s="82"/>
      <c r="W121" s="82"/>
      <c r="X121" s="82"/>
      <c r="Y121" s="83"/>
      <c r="Z121" s="82"/>
      <c r="AA121" s="82"/>
      <c r="AB121" s="82"/>
      <c r="AC121" s="83"/>
      <c r="AD121" s="82"/>
      <c r="AE121" s="82"/>
      <c r="AF121" s="82"/>
      <c r="AG121" s="83"/>
      <c r="AH121" s="82"/>
      <c r="AI121" s="82"/>
      <c r="AJ121" s="82"/>
      <c r="AK121" s="83"/>
      <c r="AL121" s="82"/>
      <c r="AM121" s="82"/>
      <c r="AN121" s="82"/>
      <c r="AO121" s="82"/>
      <c r="AP121" s="84" t="str">
        <f t="shared" si="2"/>
        <v/>
      </c>
      <c r="AQ121" s="9"/>
      <c r="AR121" s="9"/>
      <c r="AS121" s="8"/>
      <c r="AT121" s="9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8"/>
      <c r="BX121" s="9"/>
      <c r="BY121" s="9"/>
      <c r="BZ121" s="9"/>
      <c r="CA121" s="33"/>
      <c r="CB121" s="85" t="str">
        <f t="shared" si="3"/>
        <v/>
      </c>
      <c r="CC121" s="86" t="str">
        <f t="shared" si="4"/>
        <v/>
      </c>
      <c r="CD121" s="86" t="str">
        <f t="shared" si="5"/>
        <v/>
      </c>
      <c r="CE121" s="86" t="str">
        <f t="shared" si="6"/>
        <v/>
      </c>
      <c r="CF121" s="86" t="str">
        <f t="shared" si="7"/>
        <v/>
      </c>
      <c r="CG121" s="86" t="str">
        <f t="shared" si="8"/>
        <v/>
      </c>
      <c r="CH121" s="86" t="str">
        <f t="shared" si="9"/>
        <v/>
      </c>
      <c r="CI121" s="86" t="str">
        <f t="shared" si="10"/>
        <v/>
      </c>
      <c r="CJ121" s="86" t="str">
        <f t="shared" si="11"/>
        <v/>
      </c>
      <c r="CK121" s="86" t="str">
        <f t="shared" si="12"/>
        <v/>
      </c>
      <c r="CL121" s="86" t="str">
        <f t="shared" si="13"/>
        <v/>
      </c>
      <c r="CM121" s="87" t="str">
        <f t="shared" si="14"/>
        <v/>
      </c>
      <c r="CN121" s="88" t="str">
        <f t="shared" si="26"/>
        <v/>
      </c>
      <c r="CO121" s="88" t="str">
        <f t="shared" si="15"/>
        <v/>
      </c>
      <c r="CP121" s="88" t="str">
        <f t="shared" si="16"/>
        <v/>
      </c>
      <c r="CQ121" s="88" t="str">
        <f t="shared" si="17"/>
        <v/>
      </c>
      <c r="CR121" s="88" t="str">
        <f t="shared" si="18"/>
        <v/>
      </c>
      <c r="CS121" s="88" t="str">
        <f t="shared" si="19"/>
        <v/>
      </c>
      <c r="CT121" s="88" t="str">
        <f t="shared" si="20"/>
        <v/>
      </c>
      <c r="CU121" s="88" t="str">
        <f t="shared" si="21"/>
        <v/>
      </c>
      <c r="CV121" s="88" t="str">
        <f t="shared" si="22"/>
        <v/>
      </c>
      <c r="CW121" s="88" t="str">
        <f t="shared" si="23"/>
        <v/>
      </c>
      <c r="CX121" s="7"/>
      <c r="CY121" s="7"/>
      <c r="CZ121" s="7"/>
      <c r="DA121" s="8"/>
      <c r="DU121" s="93" t="str">
        <f t="shared" si="24"/>
        <v/>
      </c>
      <c r="DV121" s="93" t="str">
        <f>ABA!$A121</f>
        <v/>
      </c>
      <c r="DW121" s="82" t="str">
        <f t="shared" si="25"/>
        <v/>
      </c>
    </row>
    <row r="122" ht="15.75" customHeight="1">
      <c r="A122" s="85"/>
      <c r="B122" s="107"/>
      <c r="C122" s="98"/>
      <c r="D122" s="98"/>
      <c r="E122" s="99"/>
      <c r="F122" s="98"/>
      <c r="G122" s="98"/>
      <c r="H122" s="98"/>
      <c r="I122" s="99"/>
      <c r="J122" s="98"/>
      <c r="K122" s="98"/>
      <c r="L122" s="98"/>
      <c r="M122" s="99"/>
      <c r="N122" s="98"/>
      <c r="O122" s="98"/>
      <c r="P122" s="98"/>
      <c r="Q122" s="99"/>
      <c r="R122" s="98"/>
      <c r="S122" s="98"/>
      <c r="T122" s="98"/>
      <c r="U122" s="99"/>
      <c r="V122" s="98"/>
      <c r="W122" s="98"/>
      <c r="X122" s="98"/>
      <c r="Y122" s="100"/>
      <c r="Z122" s="98"/>
      <c r="AA122" s="98"/>
      <c r="AB122" s="98"/>
      <c r="AC122" s="99"/>
      <c r="AD122" s="98"/>
      <c r="AE122" s="98"/>
      <c r="AF122" s="98"/>
      <c r="AG122" s="99"/>
      <c r="AH122" s="98"/>
      <c r="AI122" s="98"/>
      <c r="AJ122" s="98"/>
      <c r="AK122" s="99"/>
      <c r="AL122" s="98"/>
      <c r="AM122" s="98"/>
      <c r="AN122" s="98"/>
      <c r="AO122" s="98"/>
      <c r="AP122" s="84" t="str">
        <f t="shared" si="2"/>
        <v/>
      </c>
      <c r="AQ122" s="9"/>
      <c r="AR122" s="9"/>
      <c r="AS122" s="8"/>
      <c r="AT122" s="9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8"/>
      <c r="BX122" s="9"/>
      <c r="BY122" s="9"/>
      <c r="BZ122" s="9"/>
      <c r="CA122" s="33"/>
      <c r="CB122" s="85" t="str">
        <f t="shared" si="3"/>
        <v/>
      </c>
      <c r="CC122" s="86" t="str">
        <f t="shared" si="4"/>
        <v/>
      </c>
      <c r="CD122" s="86" t="str">
        <f t="shared" si="5"/>
        <v/>
      </c>
      <c r="CE122" s="86" t="str">
        <f t="shared" si="6"/>
        <v/>
      </c>
      <c r="CF122" s="86" t="str">
        <f t="shared" si="7"/>
        <v/>
      </c>
      <c r="CG122" s="86" t="str">
        <f t="shared" si="8"/>
        <v/>
      </c>
      <c r="CH122" s="86" t="str">
        <f t="shared" si="9"/>
        <v/>
      </c>
      <c r="CI122" s="86" t="str">
        <f t="shared" si="10"/>
        <v/>
      </c>
      <c r="CJ122" s="86" t="str">
        <f t="shared" si="11"/>
        <v/>
      </c>
      <c r="CK122" s="86" t="str">
        <f t="shared" si="12"/>
        <v/>
      </c>
      <c r="CL122" s="86" t="str">
        <f t="shared" si="13"/>
        <v/>
      </c>
      <c r="CM122" s="87" t="str">
        <f t="shared" si="14"/>
        <v/>
      </c>
      <c r="CN122" s="88" t="str">
        <f t="shared" si="26"/>
        <v/>
      </c>
      <c r="CO122" s="88" t="str">
        <f t="shared" si="15"/>
        <v/>
      </c>
      <c r="CP122" s="88" t="str">
        <f t="shared" si="16"/>
        <v/>
      </c>
      <c r="CQ122" s="88" t="str">
        <f t="shared" si="17"/>
        <v/>
      </c>
      <c r="CR122" s="88" t="str">
        <f t="shared" si="18"/>
        <v/>
      </c>
      <c r="CS122" s="88" t="str">
        <f t="shared" si="19"/>
        <v/>
      </c>
      <c r="CT122" s="88" t="str">
        <f t="shared" si="20"/>
        <v/>
      </c>
      <c r="CU122" s="88" t="str">
        <f t="shared" si="21"/>
        <v/>
      </c>
      <c r="CV122" s="88" t="str">
        <f t="shared" si="22"/>
        <v/>
      </c>
      <c r="CW122" s="88" t="str">
        <f t="shared" si="23"/>
        <v/>
      </c>
      <c r="CX122" s="7"/>
      <c r="CY122" s="7"/>
      <c r="CZ122" s="7"/>
      <c r="DA122" s="8"/>
      <c r="DU122" s="104" t="str">
        <f t="shared" si="24"/>
        <v/>
      </c>
      <c r="DV122" s="104" t="str">
        <f>ABA!$A122</f>
        <v/>
      </c>
      <c r="DW122" s="98" t="str">
        <f t="shared" si="25"/>
        <v/>
      </c>
    </row>
    <row r="123" ht="15.75" customHeight="1">
      <c r="A123" s="78"/>
      <c r="B123" s="105"/>
      <c r="C123" s="82"/>
      <c r="D123" s="82"/>
      <c r="E123" s="83"/>
      <c r="F123" s="82"/>
      <c r="G123" s="82"/>
      <c r="H123" s="82"/>
      <c r="I123" s="83"/>
      <c r="J123" s="82"/>
      <c r="K123" s="82"/>
      <c r="L123" s="82"/>
      <c r="M123" s="83"/>
      <c r="N123" s="82"/>
      <c r="O123" s="82"/>
      <c r="P123" s="82"/>
      <c r="Q123" s="83"/>
      <c r="R123" s="82"/>
      <c r="S123" s="82"/>
      <c r="T123" s="82"/>
      <c r="U123" s="83"/>
      <c r="V123" s="82"/>
      <c r="W123" s="82"/>
      <c r="X123" s="82"/>
      <c r="Y123" s="83"/>
      <c r="Z123" s="82"/>
      <c r="AA123" s="82"/>
      <c r="AB123" s="82"/>
      <c r="AC123" s="83"/>
      <c r="AD123" s="82"/>
      <c r="AE123" s="82"/>
      <c r="AF123" s="82"/>
      <c r="AG123" s="83"/>
      <c r="AH123" s="82"/>
      <c r="AI123" s="82"/>
      <c r="AJ123" s="82"/>
      <c r="AK123" s="83"/>
      <c r="AL123" s="82"/>
      <c r="AM123" s="82"/>
      <c r="AN123" s="82"/>
      <c r="AO123" s="82"/>
      <c r="AP123" s="84" t="str">
        <f t="shared" si="2"/>
        <v/>
      </c>
      <c r="AQ123" s="9"/>
      <c r="AR123" s="9"/>
      <c r="AS123" s="8"/>
      <c r="AT123" s="9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8"/>
      <c r="BX123" s="9"/>
      <c r="BY123" s="9"/>
      <c r="BZ123" s="9"/>
      <c r="CA123" s="33"/>
      <c r="CB123" s="85" t="str">
        <f t="shared" si="3"/>
        <v/>
      </c>
      <c r="CC123" s="86" t="str">
        <f t="shared" si="4"/>
        <v/>
      </c>
      <c r="CD123" s="86" t="str">
        <f t="shared" si="5"/>
        <v/>
      </c>
      <c r="CE123" s="86" t="str">
        <f t="shared" si="6"/>
        <v/>
      </c>
      <c r="CF123" s="86" t="str">
        <f t="shared" si="7"/>
        <v/>
      </c>
      <c r="CG123" s="86" t="str">
        <f t="shared" si="8"/>
        <v/>
      </c>
      <c r="CH123" s="86" t="str">
        <f t="shared" si="9"/>
        <v/>
      </c>
      <c r="CI123" s="86" t="str">
        <f t="shared" si="10"/>
        <v/>
      </c>
      <c r="CJ123" s="86" t="str">
        <f t="shared" si="11"/>
        <v/>
      </c>
      <c r="CK123" s="86" t="str">
        <f t="shared" si="12"/>
        <v/>
      </c>
      <c r="CL123" s="86" t="str">
        <f t="shared" si="13"/>
        <v/>
      </c>
      <c r="CM123" s="87" t="str">
        <f t="shared" si="14"/>
        <v/>
      </c>
      <c r="CN123" s="88" t="str">
        <f t="shared" si="26"/>
        <v/>
      </c>
      <c r="CO123" s="88" t="str">
        <f t="shared" si="15"/>
        <v/>
      </c>
      <c r="CP123" s="88" t="str">
        <f t="shared" si="16"/>
        <v/>
      </c>
      <c r="CQ123" s="88" t="str">
        <f t="shared" si="17"/>
        <v/>
      </c>
      <c r="CR123" s="88" t="str">
        <f t="shared" si="18"/>
        <v/>
      </c>
      <c r="CS123" s="88" t="str">
        <f t="shared" si="19"/>
        <v/>
      </c>
      <c r="CT123" s="88" t="str">
        <f t="shared" si="20"/>
        <v/>
      </c>
      <c r="CU123" s="88" t="str">
        <f t="shared" si="21"/>
        <v/>
      </c>
      <c r="CV123" s="88" t="str">
        <f t="shared" si="22"/>
        <v/>
      </c>
      <c r="CW123" s="88" t="str">
        <f t="shared" si="23"/>
        <v/>
      </c>
      <c r="CX123" s="7"/>
      <c r="CY123" s="7"/>
      <c r="CZ123" s="7"/>
      <c r="DA123" s="8"/>
      <c r="DU123" s="93" t="str">
        <f t="shared" si="24"/>
        <v/>
      </c>
      <c r="DV123" s="93" t="str">
        <f>ABA!$A123</f>
        <v/>
      </c>
      <c r="DW123" s="82" t="str">
        <f t="shared" si="25"/>
        <v/>
      </c>
    </row>
    <row r="124" ht="15.75" customHeight="1">
      <c r="A124" s="85"/>
      <c r="B124" s="107"/>
      <c r="C124" s="98"/>
      <c r="D124" s="98"/>
      <c r="E124" s="99"/>
      <c r="F124" s="98"/>
      <c r="G124" s="98"/>
      <c r="H124" s="98"/>
      <c r="I124" s="99"/>
      <c r="J124" s="98"/>
      <c r="K124" s="98"/>
      <c r="L124" s="98"/>
      <c r="M124" s="99"/>
      <c r="N124" s="98"/>
      <c r="O124" s="98"/>
      <c r="P124" s="98"/>
      <c r="Q124" s="99"/>
      <c r="R124" s="98"/>
      <c r="S124" s="98"/>
      <c r="T124" s="98"/>
      <c r="U124" s="99"/>
      <c r="V124" s="98"/>
      <c r="W124" s="98"/>
      <c r="X124" s="98"/>
      <c r="Y124" s="100"/>
      <c r="Z124" s="98"/>
      <c r="AA124" s="98"/>
      <c r="AB124" s="98"/>
      <c r="AC124" s="99"/>
      <c r="AD124" s="98"/>
      <c r="AE124" s="98"/>
      <c r="AF124" s="98"/>
      <c r="AG124" s="99"/>
      <c r="AH124" s="98"/>
      <c r="AI124" s="98"/>
      <c r="AJ124" s="98"/>
      <c r="AK124" s="99"/>
      <c r="AL124" s="98"/>
      <c r="AM124" s="98"/>
      <c r="AN124" s="98"/>
      <c r="AO124" s="98"/>
      <c r="AP124" s="84" t="str">
        <f t="shared" si="2"/>
        <v/>
      </c>
      <c r="AQ124" s="9"/>
      <c r="AR124" s="9"/>
      <c r="AS124" s="8"/>
      <c r="AT124" s="9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8"/>
      <c r="BX124" s="9"/>
      <c r="BY124" s="9"/>
      <c r="BZ124" s="9"/>
      <c r="CA124" s="33"/>
      <c r="CB124" s="85" t="str">
        <f t="shared" si="3"/>
        <v/>
      </c>
      <c r="CC124" s="86" t="str">
        <f t="shared" si="4"/>
        <v/>
      </c>
      <c r="CD124" s="86" t="str">
        <f t="shared" si="5"/>
        <v/>
      </c>
      <c r="CE124" s="86" t="str">
        <f t="shared" si="6"/>
        <v/>
      </c>
      <c r="CF124" s="86" t="str">
        <f t="shared" si="7"/>
        <v/>
      </c>
      <c r="CG124" s="86" t="str">
        <f t="shared" si="8"/>
        <v/>
      </c>
      <c r="CH124" s="86" t="str">
        <f t="shared" si="9"/>
        <v/>
      </c>
      <c r="CI124" s="86" t="str">
        <f t="shared" si="10"/>
        <v/>
      </c>
      <c r="CJ124" s="86" t="str">
        <f t="shared" si="11"/>
        <v/>
      </c>
      <c r="CK124" s="86" t="str">
        <f t="shared" si="12"/>
        <v/>
      </c>
      <c r="CL124" s="86" t="str">
        <f t="shared" si="13"/>
        <v/>
      </c>
      <c r="CM124" s="87" t="str">
        <f t="shared" si="14"/>
        <v/>
      </c>
      <c r="CN124" s="88" t="str">
        <f t="shared" si="26"/>
        <v/>
      </c>
      <c r="CO124" s="88" t="str">
        <f t="shared" si="15"/>
        <v/>
      </c>
      <c r="CP124" s="88" t="str">
        <f t="shared" si="16"/>
        <v/>
      </c>
      <c r="CQ124" s="88" t="str">
        <f t="shared" si="17"/>
        <v/>
      </c>
      <c r="CR124" s="88" t="str">
        <f t="shared" si="18"/>
        <v/>
      </c>
      <c r="CS124" s="88" t="str">
        <f t="shared" si="19"/>
        <v/>
      </c>
      <c r="CT124" s="88" t="str">
        <f t="shared" si="20"/>
        <v/>
      </c>
      <c r="CU124" s="88" t="str">
        <f t="shared" si="21"/>
        <v/>
      </c>
      <c r="CV124" s="88" t="str">
        <f t="shared" si="22"/>
        <v/>
      </c>
      <c r="CW124" s="88" t="str">
        <f t="shared" si="23"/>
        <v/>
      </c>
      <c r="CX124" s="7"/>
      <c r="CY124" s="7"/>
      <c r="CZ124" s="7"/>
      <c r="DA124" s="8"/>
      <c r="DU124" s="104" t="str">
        <f t="shared" si="24"/>
        <v/>
      </c>
      <c r="DV124" s="104" t="str">
        <f>ABA!$A124</f>
        <v/>
      </c>
      <c r="DW124" s="98" t="str">
        <f t="shared" si="25"/>
        <v/>
      </c>
    </row>
    <row r="125" ht="15.75" customHeight="1">
      <c r="A125" s="78"/>
      <c r="B125" s="105"/>
      <c r="C125" s="82"/>
      <c r="D125" s="82"/>
      <c r="E125" s="83"/>
      <c r="F125" s="82"/>
      <c r="G125" s="82"/>
      <c r="H125" s="82"/>
      <c r="I125" s="83"/>
      <c r="J125" s="82"/>
      <c r="K125" s="82"/>
      <c r="L125" s="82"/>
      <c r="M125" s="83"/>
      <c r="N125" s="82"/>
      <c r="O125" s="82"/>
      <c r="P125" s="82"/>
      <c r="Q125" s="83"/>
      <c r="R125" s="82"/>
      <c r="S125" s="82"/>
      <c r="T125" s="82"/>
      <c r="U125" s="83"/>
      <c r="V125" s="82"/>
      <c r="W125" s="82"/>
      <c r="X125" s="82"/>
      <c r="Y125" s="83"/>
      <c r="Z125" s="82"/>
      <c r="AA125" s="82"/>
      <c r="AB125" s="82"/>
      <c r="AC125" s="83"/>
      <c r="AD125" s="82"/>
      <c r="AE125" s="82"/>
      <c r="AF125" s="82"/>
      <c r="AG125" s="83"/>
      <c r="AH125" s="82"/>
      <c r="AI125" s="82"/>
      <c r="AJ125" s="82"/>
      <c r="AK125" s="83"/>
      <c r="AL125" s="82"/>
      <c r="AM125" s="82"/>
      <c r="AN125" s="82"/>
      <c r="AO125" s="82"/>
      <c r="AP125" s="84" t="str">
        <f t="shared" si="2"/>
        <v/>
      </c>
      <c r="AQ125" s="9"/>
      <c r="AR125" s="9"/>
      <c r="AS125" s="8"/>
      <c r="AT125" s="9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8"/>
      <c r="BX125" s="9"/>
      <c r="BY125" s="9"/>
      <c r="BZ125" s="9"/>
      <c r="CA125" s="33"/>
      <c r="CB125" s="85" t="str">
        <f t="shared" si="3"/>
        <v/>
      </c>
      <c r="CC125" s="86" t="str">
        <f t="shared" si="4"/>
        <v/>
      </c>
      <c r="CD125" s="86" t="str">
        <f t="shared" si="5"/>
        <v/>
      </c>
      <c r="CE125" s="86" t="str">
        <f t="shared" si="6"/>
        <v/>
      </c>
      <c r="CF125" s="86" t="str">
        <f t="shared" si="7"/>
        <v/>
      </c>
      <c r="CG125" s="86" t="str">
        <f t="shared" si="8"/>
        <v/>
      </c>
      <c r="CH125" s="86" t="str">
        <f t="shared" si="9"/>
        <v/>
      </c>
      <c r="CI125" s="86" t="str">
        <f t="shared" si="10"/>
        <v/>
      </c>
      <c r="CJ125" s="86" t="str">
        <f t="shared" si="11"/>
        <v/>
      </c>
      <c r="CK125" s="86" t="str">
        <f t="shared" si="12"/>
        <v/>
      </c>
      <c r="CL125" s="86" t="str">
        <f t="shared" si="13"/>
        <v/>
      </c>
      <c r="CM125" s="87" t="str">
        <f t="shared" si="14"/>
        <v/>
      </c>
      <c r="CN125" s="88" t="str">
        <f t="shared" si="26"/>
        <v/>
      </c>
      <c r="CO125" s="88" t="str">
        <f t="shared" si="15"/>
        <v/>
      </c>
      <c r="CP125" s="88" t="str">
        <f t="shared" si="16"/>
        <v/>
      </c>
      <c r="CQ125" s="88" t="str">
        <f t="shared" si="17"/>
        <v/>
      </c>
      <c r="CR125" s="88" t="str">
        <f t="shared" si="18"/>
        <v/>
      </c>
      <c r="CS125" s="88" t="str">
        <f t="shared" si="19"/>
        <v/>
      </c>
      <c r="CT125" s="88" t="str">
        <f t="shared" si="20"/>
        <v/>
      </c>
      <c r="CU125" s="88" t="str">
        <f t="shared" si="21"/>
        <v/>
      </c>
      <c r="CV125" s="88" t="str">
        <f t="shared" si="22"/>
        <v/>
      </c>
      <c r="CW125" s="88" t="str">
        <f t="shared" si="23"/>
        <v/>
      </c>
      <c r="CX125" s="7"/>
      <c r="CY125" s="7"/>
      <c r="CZ125" s="7"/>
      <c r="DA125" s="8"/>
      <c r="DU125" s="93" t="str">
        <f t="shared" si="24"/>
        <v/>
      </c>
      <c r="DV125" s="93" t="str">
        <f>ABA!$A125</f>
        <v/>
      </c>
      <c r="DW125" s="82" t="str">
        <f t="shared" si="25"/>
        <v/>
      </c>
    </row>
    <row r="126" ht="15.75" customHeight="1">
      <c r="A126" s="85"/>
      <c r="B126" s="107"/>
      <c r="C126" s="98"/>
      <c r="D126" s="98"/>
      <c r="E126" s="99"/>
      <c r="F126" s="98"/>
      <c r="G126" s="98"/>
      <c r="H126" s="98"/>
      <c r="I126" s="99"/>
      <c r="J126" s="98"/>
      <c r="K126" s="98"/>
      <c r="L126" s="98"/>
      <c r="M126" s="99"/>
      <c r="N126" s="98"/>
      <c r="O126" s="98"/>
      <c r="P126" s="98"/>
      <c r="Q126" s="99"/>
      <c r="R126" s="98"/>
      <c r="S126" s="98"/>
      <c r="T126" s="98"/>
      <c r="U126" s="99"/>
      <c r="V126" s="98"/>
      <c r="W126" s="98"/>
      <c r="X126" s="98"/>
      <c r="Y126" s="100"/>
      <c r="Z126" s="98"/>
      <c r="AA126" s="98"/>
      <c r="AB126" s="98"/>
      <c r="AC126" s="99"/>
      <c r="AD126" s="98"/>
      <c r="AE126" s="98"/>
      <c r="AF126" s="98"/>
      <c r="AG126" s="99"/>
      <c r="AH126" s="98"/>
      <c r="AI126" s="98"/>
      <c r="AJ126" s="98"/>
      <c r="AK126" s="99"/>
      <c r="AL126" s="98"/>
      <c r="AM126" s="98"/>
      <c r="AN126" s="98"/>
      <c r="AO126" s="98"/>
      <c r="AP126" s="84" t="str">
        <f t="shared" si="2"/>
        <v/>
      </c>
      <c r="AQ126" s="9"/>
      <c r="AR126" s="9"/>
      <c r="AS126" s="8"/>
      <c r="AT126" s="9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8"/>
      <c r="BX126" s="9"/>
      <c r="BY126" s="9"/>
      <c r="BZ126" s="9"/>
      <c r="CA126" s="33"/>
      <c r="CB126" s="85" t="str">
        <f t="shared" si="3"/>
        <v/>
      </c>
      <c r="CC126" s="86" t="str">
        <f t="shared" si="4"/>
        <v/>
      </c>
      <c r="CD126" s="86" t="str">
        <f t="shared" si="5"/>
        <v/>
      </c>
      <c r="CE126" s="86" t="str">
        <f t="shared" si="6"/>
        <v/>
      </c>
      <c r="CF126" s="86" t="str">
        <f t="shared" si="7"/>
        <v/>
      </c>
      <c r="CG126" s="86" t="str">
        <f t="shared" si="8"/>
        <v/>
      </c>
      <c r="CH126" s="86" t="str">
        <f t="shared" si="9"/>
        <v/>
      </c>
      <c r="CI126" s="86" t="str">
        <f t="shared" si="10"/>
        <v/>
      </c>
      <c r="CJ126" s="86" t="str">
        <f t="shared" si="11"/>
        <v/>
      </c>
      <c r="CK126" s="86" t="str">
        <f t="shared" si="12"/>
        <v/>
      </c>
      <c r="CL126" s="86" t="str">
        <f t="shared" si="13"/>
        <v/>
      </c>
      <c r="CM126" s="87" t="str">
        <f t="shared" si="14"/>
        <v/>
      </c>
      <c r="CN126" s="88" t="str">
        <f t="shared" si="26"/>
        <v/>
      </c>
      <c r="CO126" s="88" t="str">
        <f t="shared" si="15"/>
        <v/>
      </c>
      <c r="CP126" s="88" t="str">
        <f t="shared" si="16"/>
        <v/>
      </c>
      <c r="CQ126" s="88" t="str">
        <f t="shared" si="17"/>
        <v/>
      </c>
      <c r="CR126" s="88" t="str">
        <f t="shared" si="18"/>
        <v/>
      </c>
      <c r="CS126" s="88" t="str">
        <f t="shared" si="19"/>
        <v/>
      </c>
      <c r="CT126" s="88" t="str">
        <f t="shared" si="20"/>
        <v/>
      </c>
      <c r="CU126" s="88" t="str">
        <f t="shared" si="21"/>
        <v/>
      </c>
      <c r="CV126" s="88" t="str">
        <f t="shared" si="22"/>
        <v/>
      </c>
      <c r="CW126" s="88" t="str">
        <f t="shared" si="23"/>
        <v/>
      </c>
      <c r="CX126" s="7"/>
      <c r="CY126" s="7"/>
      <c r="CZ126" s="7"/>
      <c r="DA126" s="8"/>
      <c r="DU126" s="104" t="str">
        <f t="shared" si="24"/>
        <v/>
      </c>
      <c r="DV126" s="104" t="str">
        <f>ABA!$A126</f>
        <v/>
      </c>
      <c r="DW126" s="98" t="str">
        <f t="shared" si="25"/>
        <v/>
      </c>
    </row>
    <row r="127" ht="15.75" customHeight="1">
      <c r="A127" s="78"/>
      <c r="B127" s="105"/>
      <c r="C127" s="82"/>
      <c r="D127" s="82"/>
      <c r="E127" s="83"/>
      <c r="F127" s="82"/>
      <c r="G127" s="82"/>
      <c r="H127" s="82"/>
      <c r="I127" s="83"/>
      <c r="J127" s="82"/>
      <c r="K127" s="82"/>
      <c r="L127" s="82"/>
      <c r="M127" s="83"/>
      <c r="N127" s="82"/>
      <c r="O127" s="82"/>
      <c r="P127" s="82"/>
      <c r="Q127" s="83"/>
      <c r="R127" s="82"/>
      <c r="S127" s="82"/>
      <c r="T127" s="82"/>
      <c r="U127" s="83"/>
      <c r="V127" s="82"/>
      <c r="W127" s="82"/>
      <c r="X127" s="82"/>
      <c r="Y127" s="83"/>
      <c r="Z127" s="82"/>
      <c r="AA127" s="82"/>
      <c r="AB127" s="82"/>
      <c r="AC127" s="83"/>
      <c r="AD127" s="82"/>
      <c r="AE127" s="82"/>
      <c r="AF127" s="82"/>
      <c r="AG127" s="83"/>
      <c r="AH127" s="82"/>
      <c r="AI127" s="82"/>
      <c r="AJ127" s="82"/>
      <c r="AK127" s="83"/>
      <c r="AL127" s="82"/>
      <c r="AM127" s="82"/>
      <c r="AN127" s="82"/>
      <c r="AO127" s="82"/>
      <c r="AP127" s="84" t="str">
        <f t="shared" si="2"/>
        <v/>
      </c>
      <c r="AQ127" s="9"/>
      <c r="AR127" s="9"/>
      <c r="AS127" s="8"/>
      <c r="AT127" s="9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8"/>
      <c r="BX127" s="9"/>
      <c r="BY127" s="9"/>
      <c r="BZ127" s="9"/>
      <c r="CA127" s="33"/>
      <c r="CB127" s="85" t="str">
        <f t="shared" si="3"/>
        <v/>
      </c>
      <c r="CC127" s="86" t="str">
        <f t="shared" si="4"/>
        <v/>
      </c>
      <c r="CD127" s="86" t="str">
        <f t="shared" si="5"/>
        <v/>
      </c>
      <c r="CE127" s="86" t="str">
        <f t="shared" si="6"/>
        <v/>
      </c>
      <c r="CF127" s="86" t="str">
        <f t="shared" si="7"/>
        <v/>
      </c>
      <c r="CG127" s="86" t="str">
        <f t="shared" si="8"/>
        <v/>
      </c>
      <c r="CH127" s="86" t="str">
        <f t="shared" si="9"/>
        <v/>
      </c>
      <c r="CI127" s="86" t="str">
        <f t="shared" si="10"/>
        <v/>
      </c>
      <c r="CJ127" s="86" t="str">
        <f t="shared" si="11"/>
        <v/>
      </c>
      <c r="CK127" s="86" t="str">
        <f t="shared" si="12"/>
        <v/>
      </c>
      <c r="CL127" s="86" t="str">
        <f t="shared" si="13"/>
        <v/>
      </c>
      <c r="CM127" s="87" t="str">
        <f t="shared" si="14"/>
        <v/>
      </c>
      <c r="CN127" s="88" t="str">
        <f t="shared" si="26"/>
        <v/>
      </c>
      <c r="CO127" s="88" t="str">
        <f t="shared" si="15"/>
        <v/>
      </c>
      <c r="CP127" s="88" t="str">
        <f t="shared" si="16"/>
        <v/>
      </c>
      <c r="CQ127" s="88" t="str">
        <f t="shared" si="17"/>
        <v/>
      </c>
      <c r="CR127" s="88" t="str">
        <f t="shared" si="18"/>
        <v/>
      </c>
      <c r="CS127" s="88" t="str">
        <f t="shared" si="19"/>
        <v/>
      </c>
      <c r="CT127" s="88" t="str">
        <f t="shared" si="20"/>
        <v/>
      </c>
      <c r="CU127" s="88" t="str">
        <f t="shared" si="21"/>
        <v/>
      </c>
      <c r="CV127" s="88" t="str">
        <f t="shared" si="22"/>
        <v/>
      </c>
      <c r="CW127" s="88" t="str">
        <f t="shared" si="23"/>
        <v/>
      </c>
      <c r="CX127" s="7"/>
      <c r="CY127" s="7"/>
      <c r="CZ127" s="7"/>
      <c r="DA127" s="8"/>
      <c r="DU127" s="93" t="str">
        <f t="shared" si="24"/>
        <v/>
      </c>
      <c r="DV127" s="93" t="str">
        <f>ABA!$A127</f>
        <v/>
      </c>
      <c r="DW127" s="82" t="str">
        <f t="shared" si="25"/>
        <v/>
      </c>
    </row>
    <row r="128" ht="15.75" customHeight="1">
      <c r="A128" s="85"/>
      <c r="B128" s="107"/>
      <c r="C128" s="98"/>
      <c r="D128" s="98"/>
      <c r="E128" s="99"/>
      <c r="F128" s="98"/>
      <c r="G128" s="98"/>
      <c r="H128" s="98"/>
      <c r="I128" s="99"/>
      <c r="J128" s="98"/>
      <c r="K128" s="98"/>
      <c r="L128" s="98"/>
      <c r="M128" s="99"/>
      <c r="N128" s="98"/>
      <c r="O128" s="98"/>
      <c r="P128" s="98"/>
      <c r="Q128" s="99"/>
      <c r="R128" s="98"/>
      <c r="S128" s="98"/>
      <c r="T128" s="98"/>
      <c r="U128" s="99"/>
      <c r="V128" s="98"/>
      <c r="W128" s="98"/>
      <c r="X128" s="98"/>
      <c r="Y128" s="100"/>
      <c r="Z128" s="98"/>
      <c r="AA128" s="98"/>
      <c r="AB128" s="98"/>
      <c r="AC128" s="99"/>
      <c r="AD128" s="98"/>
      <c r="AE128" s="98"/>
      <c r="AF128" s="98"/>
      <c r="AG128" s="99"/>
      <c r="AH128" s="98"/>
      <c r="AI128" s="98"/>
      <c r="AJ128" s="98"/>
      <c r="AK128" s="99"/>
      <c r="AL128" s="98"/>
      <c r="AM128" s="98"/>
      <c r="AN128" s="98"/>
      <c r="AO128" s="98"/>
      <c r="AP128" s="84" t="str">
        <f t="shared" si="2"/>
        <v/>
      </c>
      <c r="AQ128" s="9"/>
      <c r="AR128" s="9"/>
      <c r="AS128" s="8"/>
      <c r="AT128" s="9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8"/>
      <c r="BX128" s="9"/>
      <c r="BY128" s="9"/>
      <c r="BZ128" s="9"/>
      <c r="CA128" s="33"/>
      <c r="CB128" s="85" t="str">
        <f t="shared" si="3"/>
        <v/>
      </c>
      <c r="CC128" s="86" t="str">
        <f t="shared" si="4"/>
        <v/>
      </c>
      <c r="CD128" s="86" t="str">
        <f t="shared" si="5"/>
        <v/>
      </c>
      <c r="CE128" s="86" t="str">
        <f t="shared" si="6"/>
        <v/>
      </c>
      <c r="CF128" s="86" t="str">
        <f t="shared" si="7"/>
        <v/>
      </c>
      <c r="CG128" s="86" t="str">
        <f t="shared" si="8"/>
        <v/>
      </c>
      <c r="CH128" s="86" t="str">
        <f t="shared" si="9"/>
        <v/>
      </c>
      <c r="CI128" s="86" t="str">
        <f t="shared" si="10"/>
        <v/>
      </c>
      <c r="CJ128" s="86" t="str">
        <f t="shared" si="11"/>
        <v/>
      </c>
      <c r="CK128" s="86" t="str">
        <f t="shared" si="12"/>
        <v/>
      </c>
      <c r="CL128" s="86" t="str">
        <f t="shared" si="13"/>
        <v/>
      </c>
      <c r="CM128" s="87" t="str">
        <f t="shared" si="14"/>
        <v/>
      </c>
      <c r="CN128" s="88" t="str">
        <f t="shared" si="26"/>
        <v/>
      </c>
      <c r="CO128" s="88" t="str">
        <f t="shared" si="15"/>
        <v/>
      </c>
      <c r="CP128" s="88" t="str">
        <f t="shared" si="16"/>
        <v/>
      </c>
      <c r="CQ128" s="88" t="str">
        <f t="shared" si="17"/>
        <v/>
      </c>
      <c r="CR128" s="88" t="str">
        <f t="shared" si="18"/>
        <v/>
      </c>
      <c r="CS128" s="88" t="str">
        <f t="shared" si="19"/>
        <v/>
      </c>
      <c r="CT128" s="88" t="str">
        <f t="shared" si="20"/>
        <v/>
      </c>
      <c r="CU128" s="88" t="str">
        <f t="shared" si="21"/>
        <v/>
      </c>
      <c r="CV128" s="88" t="str">
        <f t="shared" si="22"/>
        <v/>
      </c>
      <c r="CW128" s="88" t="str">
        <f t="shared" si="23"/>
        <v/>
      </c>
      <c r="CX128" s="7"/>
      <c r="CY128" s="7"/>
      <c r="CZ128" s="7"/>
      <c r="DA128" s="8"/>
      <c r="DU128" s="104" t="str">
        <f t="shared" si="24"/>
        <v/>
      </c>
      <c r="DV128" s="104" t="str">
        <f>ABA!$A128</f>
        <v/>
      </c>
      <c r="DW128" s="98" t="str">
        <f t="shared" si="25"/>
        <v/>
      </c>
    </row>
    <row r="129" ht="15.75" customHeight="1">
      <c r="A129" s="78"/>
      <c r="B129" s="105"/>
      <c r="C129" s="82"/>
      <c r="D129" s="82"/>
      <c r="E129" s="83"/>
      <c r="F129" s="82"/>
      <c r="G129" s="82"/>
      <c r="H129" s="82"/>
      <c r="I129" s="83"/>
      <c r="J129" s="82"/>
      <c r="K129" s="82"/>
      <c r="L129" s="82"/>
      <c r="M129" s="83"/>
      <c r="N129" s="82"/>
      <c r="O129" s="82"/>
      <c r="P129" s="82"/>
      <c r="Q129" s="83"/>
      <c r="R129" s="82"/>
      <c r="S129" s="82"/>
      <c r="T129" s="82"/>
      <c r="U129" s="83"/>
      <c r="V129" s="82"/>
      <c r="W129" s="82"/>
      <c r="X129" s="82"/>
      <c r="Y129" s="83"/>
      <c r="Z129" s="82"/>
      <c r="AA129" s="82"/>
      <c r="AB129" s="82"/>
      <c r="AC129" s="83"/>
      <c r="AD129" s="82"/>
      <c r="AE129" s="82"/>
      <c r="AF129" s="82"/>
      <c r="AG129" s="83"/>
      <c r="AH129" s="82"/>
      <c r="AI129" s="82"/>
      <c r="AJ129" s="82"/>
      <c r="AK129" s="83"/>
      <c r="AL129" s="82"/>
      <c r="AM129" s="82"/>
      <c r="AN129" s="82"/>
      <c r="AO129" s="82"/>
      <c r="AP129" s="84" t="str">
        <f t="shared" si="2"/>
        <v/>
      </c>
      <c r="AQ129" s="9"/>
      <c r="AR129" s="9"/>
      <c r="AS129" s="8"/>
      <c r="AT129" s="9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8"/>
      <c r="BX129" s="9"/>
      <c r="BY129" s="9"/>
      <c r="BZ129" s="9"/>
      <c r="CA129" s="33"/>
      <c r="CB129" s="85" t="str">
        <f t="shared" si="3"/>
        <v/>
      </c>
      <c r="CC129" s="86" t="str">
        <f t="shared" si="4"/>
        <v/>
      </c>
      <c r="CD129" s="86" t="str">
        <f t="shared" si="5"/>
        <v/>
      </c>
      <c r="CE129" s="86" t="str">
        <f t="shared" si="6"/>
        <v/>
      </c>
      <c r="CF129" s="86" t="str">
        <f t="shared" si="7"/>
        <v/>
      </c>
      <c r="CG129" s="86" t="str">
        <f t="shared" si="8"/>
        <v/>
      </c>
      <c r="CH129" s="86" t="str">
        <f t="shared" si="9"/>
        <v/>
      </c>
      <c r="CI129" s="86" t="str">
        <f t="shared" si="10"/>
        <v/>
      </c>
      <c r="CJ129" s="86" t="str">
        <f t="shared" si="11"/>
        <v/>
      </c>
      <c r="CK129" s="86" t="str">
        <f t="shared" si="12"/>
        <v/>
      </c>
      <c r="CL129" s="86" t="str">
        <f t="shared" si="13"/>
        <v/>
      </c>
      <c r="CM129" s="87" t="str">
        <f t="shared" si="14"/>
        <v/>
      </c>
      <c r="CN129" s="88" t="str">
        <f t="shared" si="26"/>
        <v/>
      </c>
      <c r="CO129" s="88" t="str">
        <f t="shared" si="15"/>
        <v/>
      </c>
      <c r="CP129" s="88" t="str">
        <f t="shared" si="16"/>
        <v/>
      </c>
      <c r="CQ129" s="88" t="str">
        <f t="shared" si="17"/>
        <v/>
      </c>
      <c r="CR129" s="88" t="str">
        <f t="shared" si="18"/>
        <v/>
      </c>
      <c r="CS129" s="88" t="str">
        <f t="shared" si="19"/>
        <v/>
      </c>
      <c r="CT129" s="88" t="str">
        <f t="shared" si="20"/>
        <v/>
      </c>
      <c r="CU129" s="88" t="str">
        <f t="shared" si="21"/>
        <v/>
      </c>
      <c r="CV129" s="88" t="str">
        <f t="shared" si="22"/>
        <v/>
      </c>
      <c r="CW129" s="88" t="str">
        <f t="shared" si="23"/>
        <v/>
      </c>
      <c r="CX129" s="7"/>
      <c r="CY129" s="7"/>
      <c r="CZ129" s="7"/>
      <c r="DA129" s="8"/>
      <c r="DU129" s="93" t="str">
        <f t="shared" si="24"/>
        <v/>
      </c>
      <c r="DV129" s="93" t="str">
        <f>ABA!$A129</f>
        <v/>
      </c>
      <c r="DW129" s="82" t="str">
        <f t="shared" si="25"/>
        <v/>
      </c>
    </row>
    <row r="130" ht="15.75" customHeight="1">
      <c r="A130" s="85"/>
      <c r="B130" s="107"/>
      <c r="C130" s="98"/>
      <c r="D130" s="98"/>
      <c r="E130" s="99"/>
      <c r="F130" s="98"/>
      <c r="G130" s="98"/>
      <c r="H130" s="98"/>
      <c r="I130" s="99"/>
      <c r="J130" s="98"/>
      <c r="K130" s="98"/>
      <c r="L130" s="98"/>
      <c r="M130" s="99"/>
      <c r="N130" s="98"/>
      <c r="O130" s="98"/>
      <c r="P130" s="98"/>
      <c r="Q130" s="99"/>
      <c r="R130" s="98"/>
      <c r="S130" s="98"/>
      <c r="T130" s="98"/>
      <c r="U130" s="99"/>
      <c r="V130" s="98"/>
      <c r="W130" s="98"/>
      <c r="X130" s="98"/>
      <c r="Y130" s="100"/>
      <c r="Z130" s="98"/>
      <c r="AA130" s="98"/>
      <c r="AB130" s="98"/>
      <c r="AC130" s="99"/>
      <c r="AD130" s="98"/>
      <c r="AE130" s="98"/>
      <c r="AF130" s="98"/>
      <c r="AG130" s="99"/>
      <c r="AH130" s="98"/>
      <c r="AI130" s="98"/>
      <c r="AJ130" s="98"/>
      <c r="AK130" s="99"/>
      <c r="AL130" s="98"/>
      <c r="AM130" s="98"/>
      <c r="AN130" s="98"/>
      <c r="AO130" s="98"/>
      <c r="AP130" s="84" t="str">
        <f t="shared" si="2"/>
        <v/>
      </c>
      <c r="AQ130" s="9"/>
      <c r="AR130" s="9"/>
      <c r="AS130" s="8"/>
      <c r="AT130" s="9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8"/>
      <c r="BX130" s="9"/>
      <c r="BY130" s="9"/>
      <c r="BZ130" s="9"/>
      <c r="CA130" s="33"/>
      <c r="CB130" s="85" t="str">
        <f t="shared" si="3"/>
        <v/>
      </c>
      <c r="CC130" s="86" t="str">
        <f t="shared" si="4"/>
        <v/>
      </c>
      <c r="CD130" s="86" t="str">
        <f t="shared" si="5"/>
        <v/>
      </c>
      <c r="CE130" s="86" t="str">
        <f t="shared" si="6"/>
        <v/>
      </c>
      <c r="CF130" s="86" t="str">
        <f t="shared" si="7"/>
        <v/>
      </c>
      <c r="CG130" s="86" t="str">
        <f t="shared" si="8"/>
        <v/>
      </c>
      <c r="CH130" s="86" t="str">
        <f t="shared" si="9"/>
        <v/>
      </c>
      <c r="CI130" s="86" t="str">
        <f t="shared" si="10"/>
        <v/>
      </c>
      <c r="CJ130" s="86" t="str">
        <f t="shared" si="11"/>
        <v/>
      </c>
      <c r="CK130" s="86" t="str">
        <f t="shared" si="12"/>
        <v/>
      </c>
      <c r="CL130" s="86" t="str">
        <f t="shared" si="13"/>
        <v/>
      </c>
      <c r="CM130" s="87" t="str">
        <f t="shared" si="14"/>
        <v/>
      </c>
      <c r="CN130" s="88" t="str">
        <f t="shared" si="26"/>
        <v/>
      </c>
      <c r="CO130" s="88" t="str">
        <f t="shared" si="15"/>
        <v/>
      </c>
      <c r="CP130" s="88" t="str">
        <f t="shared" si="16"/>
        <v/>
      </c>
      <c r="CQ130" s="88" t="str">
        <f t="shared" si="17"/>
        <v/>
      </c>
      <c r="CR130" s="88" t="str">
        <f t="shared" si="18"/>
        <v/>
      </c>
      <c r="CS130" s="88" t="str">
        <f t="shared" si="19"/>
        <v/>
      </c>
      <c r="CT130" s="88" t="str">
        <f t="shared" si="20"/>
        <v/>
      </c>
      <c r="CU130" s="88" t="str">
        <f t="shared" si="21"/>
        <v/>
      </c>
      <c r="CV130" s="88" t="str">
        <f t="shared" si="22"/>
        <v/>
      </c>
      <c r="CW130" s="88" t="str">
        <f t="shared" si="23"/>
        <v/>
      </c>
      <c r="CX130" s="7"/>
      <c r="CY130" s="7"/>
      <c r="CZ130" s="7"/>
      <c r="DA130" s="8"/>
      <c r="DU130" s="104" t="str">
        <f t="shared" si="24"/>
        <v/>
      </c>
      <c r="DV130" s="104" t="str">
        <f>ABA!$A130</f>
        <v/>
      </c>
      <c r="DW130" s="98" t="str">
        <f t="shared" si="25"/>
        <v/>
      </c>
    </row>
    <row r="131" ht="15.75" customHeight="1">
      <c r="A131" s="78"/>
      <c r="B131" s="105"/>
      <c r="C131" s="82"/>
      <c r="D131" s="82"/>
      <c r="E131" s="83"/>
      <c r="F131" s="82"/>
      <c r="G131" s="82"/>
      <c r="H131" s="82"/>
      <c r="I131" s="83"/>
      <c r="J131" s="82"/>
      <c r="K131" s="82"/>
      <c r="L131" s="82"/>
      <c r="M131" s="83"/>
      <c r="N131" s="82"/>
      <c r="O131" s="82"/>
      <c r="P131" s="82"/>
      <c r="Q131" s="83"/>
      <c r="R131" s="82"/>
      <c r="S131" s="82"/>
      <c r="T131" s="82"/>
      <c r="U131" s="83"/>
      <c r="V131" s="82"/>
      <c r="W131" s="82"/>
      <c r="X131" s="82"/>
      <c r="Y131" s="83"/>
      <c r="Z131" s="82"/>
      <c r="AA131" s="82"/>
      <c r="AB131" s="82"/>
      <c r="AC131" s="83"/>
      <c r="AD131" s="82"/>
      <c r="AE131" s="82"/>
      <c r="AF131" s="82"/>
      <c r="AG131" s="83"/>
      <c r="AH131" s="82"/>
      <c r="AI131" s="82"/>
      <c r="AJ131" s="82"/>
      <c r="AK131" s="83"/>
      <c r="AL131" s="82"/>
      <c r="AM131" s="82"/>
      <c r="AN131" s="82"/>
      <c r="AO131" s="82"/>
      <c r="AP131" s="84" t="str">
        <f t="shared" si="2"/>
        <v/>
      </c>
      <c r="AQ131" s="9"/>
      <c r="AR131" s="9"/>
      <c r="AS131" s="8"/>
      <c r="AT131" s="9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8"/>
      <c r="BX131" s="9"/>
      <c r="BY131" s="9"/>
      <c r="BZ131" s="9"/>
      <c r="CA131" s="33"/>
      <c r="CB131" s="85" t="str">
        <f t="shared" si="3"/>
        <v/>
      </c>
      <c r="CC131" s="86" t="str">
        <f t="shared" si="4"/>
        <v/>
      </c>
      <c r="CD131" s="86" t="str">
        <f t="shared" si="5"/>
        <v/>
      </c>
      <c r="CE131" s="86" t="str">
        <f t="shared" si="6"/>
        <v/>
      </c>
      <c r="CF131" s="86" t="str">
        <f t="shared" si="7"/>
        <v/>
      </c>
      <c r="CG131" s="86" t="str">
        <f t="shared" si="8"/>
        <v/>
      </c>
      <c r="CH131" s="86" t="str">
        <f t="shared" si="9"/>
        <v/>
      </c>
      <c r="CI131" s="86" t="str">
        <f t="shared" si="10"/>
        <v/>
      </c>
      <c r="CJ131" s="86" t="str">
        <f t="shared" si="11"/>
        <v/>
      </c>
      <c r="CK131" s="86" t="str">
        <f t="shared" si="12"/>
        <v/>
      </c>
      <c r="CL131" s="86" t="str">
        <f t="shared" si="13"/>
        <v/>
      </c>
      <c r="CM131" s="87" t="str">
        <f t="shared" si="14"/>
        <v/>
      </c>
      <c r="CN131" s="88" t="str">
        <f t="shared" si="26"/>
        <v/>
      </c>
      <c r="CO131" s="88" t="str">
        <f t="shared" si="15"/>
        <v/>
      </c>
      <c r="CP131" s="88" t="str">
        <f t="shared" si="16"/>
        <v/>
      </c>
      <c r="CQ131" s="88" t="str">
        <f t="shared" si="17"/>
        <v/>
      </c>
      <c r="CR131" s="88" t="str">
        <f t="shared" si="18"/>
        <v/>
      </c>
      <c r="CS131" s="88" t="str">
        <f t="shared" si="19"/>
        <v/>
      </c>
      <c r="CT131" s="88" t="str">
        <f t="shared" si="20"/>
        <v/>
      </c>
      <c r="CU131" s="88" t="str">
        <f t="shared" si="21"/>
        <v/>
      </c>
      <c r="CV131" s="88" t="str">
        <f t="shared" si="22"/>
        <v/>
      </c>
      <c r="CW131" s="88" t="str">
        <f t="shared" si="23"/>
        <v/>
      </c>
      <c r="CX131" s="7"/>
      <c r="CY131" s="7"/>
      <c r="CZ131" s="7"/>
      <c r="DA131" s="8"/>
      <c r="DU131" s="93" t="str">
        <f t="shared" si="24"/>
        <v/>
      </c>
      <c r="DV131" s="93" t="str">
        <f>ABA!$A131</f>
        <v/>
      </c>
      <c r="DW131" s="82" t="str">
        <f t="shared" si="25"/>
        <v/>
      </c>
    </row>
    <row r="132" ht="15.75" customHeight="1">
      <c r="A132" s="85"/>
      <c r="B132" s="107"/>
      <c r="C132" s="98"/>
      <c r="D132" s="98"/>
      <c r="E132" s="99"/>
      <c r="F132" s="98"/>
      <c r="G132" s="98"/>
      <c r="H132" s="98"/>
      <c r="I132" s="99"/>
      <c r="J132" s="98"/>
      <c r="K132" s="98"/>
      <c r="L132" s="98"/>
      <c r="M132" s="99"/>
      <c r="N132" s="98"/>
      <c r="O132" s="98"/>
      <c r="P132" s="98"/>
      <c r="Q132" s="99"/>
      <c r="R132" s="98"/>
      <c r="S132" s="98"/>
      <c r="T132" s="98"/>
      <c r="U132" s="99"/>
      <c r="V132" s="98"/>
      <c r="W132" s="98"/>
      <c r="X132" s="98"/>
      <c r="Y132" s="100"/>
      <c r="Z132" s="98"/>
      <c r="AA132" s="98"/>
      <c r="AB132" s="98"/>
      <c r="AC132" s="99"/>
      <c r="AD132" s="98"/>
      <c r="AE132" s="98"/>
      <c r="AF132" s="98"/>
      <c r="AG132" s="99"/>
      <c r="AH132" s="98"/>
      <c r="AI132" s="98"/>
      <c r="AJ132" s="98"/>
      <c r="AK132" s="99"/>
      <c r="AL132" s="98"/>
      <c r="AM132" s="98"/>
      <c r="AN132" s="98"/>
      <c r="AO132" s="98"/>
      <c r="AP132" s="84" t="str">
        <f t="shared" si="2"/>
        <v/>
      </c>
      <c r="AQ132" s="9"/>
      <c r="AR132" s="9"/>
      <c r="AS132" s="8"/>
      <c r="AT132" s="9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8"/>
      <c r="BX132" s="9"/>
      <c r="BY132" s="9"/>
      <c r="BZ132" s="9"/>
      <c r="CA132" s="33"/>
      <c r="CB132" s="85" t="str">
        <f t="shared" si="3"/>
        <v/>
      </c>
      <c r="CC132" s="86" t="str">
        <f t="shared" si="4"/>
        <v/>
      </c>
      <c r="CD132" s="86" t="str">
        <f t="shared" si="5"/>
        <v/>
      </c>
      <c r="CE132" s="86" t="str">
        <f t="shared" si="6"/>
        <v/>
      </c>
      <c r="CF132" s="86" t="str">
        <f t="shared" si="7"/>
        <v/>
      </c>
      <c r="CG132" s="86" t="str">
        <f t="shared" si="8"/>
        <v/>
      </c>
      <c r="CH132" s="86" t="str">
        <f t="shared" si="9"/>
        <v/>
      </c>
      <c r="CI132" s="86" t="str">
        <f t="shared" si="10"/>
        <v/>
      </c>
      <c r="CJ132" s="86" t="str">
        <f t="shared" si="11"/>
        <v/>
      </c>
      <c r="CK132" s="86" t="str">
        <f t="shared" si="12"/>
        <v/>
      </c>
      <c r="CL132" s="86" t="str">
        <f t="shared" si="13"/>
        <v/>
      </c>
      <c r="CM132" s="87" t="str">
        <f t="shared" si="14"/>
        <v/>
      </c>
      <c r="CN132" s="88" t="str">
        <f t="shared" si="26"/>
        <v/>
      </c>
      <c r="CO132" s="88" t="str">
        <f t="shared" si="15"/>
        <v/>
      </c>
      <c r="CP132" s="88" t="str">
        <f t="shared" si="16"/>
        <v/>
      </c>
      <c r="CQ132" s="88" t="str">
        <f t="shared" si="17"/>
        <v/>
      </c>
      <c r="CR132" s="88" t="str">
        <f t="shared" si="18"/>
        <v/>
      </c>
      <c r="CS132" s="88" t="str">
        <f t="shared" si="19"/>
        <v/>
      </c>
      <c r="CT132" s="88" t="str">
        <f t="shared" si="20"/>
        <v/>
      </c>
      <c r="CU132" s="88" t="str">
        <f t="shared" si="21"/>
        <v/>
      </c>
      <c r="CV132" s="88" t="str">
        <f t="shared" si="22"/>
        <v/>
      </c>
      <c r="CW132" s="88" t="str">
        <f t="shared" si="23"/>
        <v/>
      </c>
      <c r="CX132" s="7"/>
      <c r="CY132" s="7"/>
      <c r="CZ132" s="7"/>
      <c r="DA132" s="8"/>
      <c r="DU132" s="104" t="str">
        <f t="shared" si="24"/>
        <v/>
      </c>
      <c r="DV132" s="104" t="str">
        <f>ABA!$A132</f>
        <v/>
      </c>
      <c r="DW132" s="98" t="str">
        <f t="shared" si="25"/>
        <v/>
      </c>
    </row>
    <row r="133" ht="15.75" customHeight="1">
      <c r="A133" s="78"/>
      <c r="B133" s="105"/>
      <c r="C133" s="82"/>
      <c r="D133" s="82"/>
      <c r="E133" s="83"/>
      <c r="F133" s="82"/>
      <c r="G133" s="82"/>
      <c r="H133" s="82"/>
      <c r="I133" s="83"/>
      <c r="J133" s="82"/>
      <c r="K133" s="82"/>
      <c r="L133" s="82"/>
      <c r="M133" s="83"/>
      <c r="N133" s="82"/>
      <c r="O133" s="82"/>
      <c r="P133" s="82"/>
      <c r="Q133" s="83"/>
      <c r="R133" s="82"/>
      <c r="S133" s="82"/>
      <c r="T133" s="82"/>
      <c r="U133" s="83"/>
      <c r="V133" s="82"/>
      <c r="W133" s="82"/>
      <c r="X133" s="82"/>
      <c r="Y133" s="83"/>
      <c r="Z133" s="82"/>
      <c r="AA133" s="82"/>
      <c r="AB133" s="82"/>
      <c r="AC133" s="83"/>
      <c r="AD133" s="82"/>
      <c r="AE133" s="82"/>
      <c r="AF133" s="82"/>
      <c r="AG133" s="83"/>
      <c r="AH133" s="82"/>
      <c r="AI133" s="82"/>
      <c r="AJ133" s="82"/>
      <c r="AK133" s="83"/>
      <c r="AL133" s="82"/>
      <c r="AM133" s="82"/>
      <c r="AN133" s="82"/>
      <c r="AO133" s="82"/>
      <c r="AP133" s="84" t="str">
        <f t="shared" si="2"/>
        <v/>
      </c>
      <c r="AQ133" s="9"/>
      <c r="AR133" s="9"/>
      <c r="AS133" s="8"/>
      <c r="AT133" s="9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8"/>
      <c r="BX133" s="9"/>
      <c r="BY133" s="9"/>
      <c r="BZ133" s="9"/>
      <c r="CA133" s="33"/>
      <c r="CB133" s="85" t="str">
        <f t="shared" si="3"/>
        <v/>
      </c>
      <c r="CC133" s="86" t="str">
        <f t="shared" si="4"/>
        <v/>
      </c>
      <c r="CD133" s="86" t="str">
        <f t="shared" si="5"/>
        <v/>
      </c>
      <c r="CE133" s="86" t="str">
        <f t="shared" si="6"/>
        <v/>
      </c>
      <c r="CF133" s="86" t="str">
        <f t="shared" si="7"/>
        <v/>
      </c>
      <c r="CG133" s="86" t="str">
        <f t="shared" si="8"/>
        <v/>
      </c>
      <c r="CH133" s="86" t="str">
        <f t="shared" si="9"/>
        <v/>
      </c>
      <c r="CI133" s="86" t="str">
        <f t="shared" si="10"/>
        <v/>
      </c>
      <c r="CJ133" s="86" t="str">
        <f t="shared" si="11"/>
        <v/>
      </c>
      <c r="CK133" s="86" t="str">
        <f t="shared" si="12"/>
        <v/>
      </c>
      <c r="CL133" s="86" t="str">
        <f t="shared" si="13"/>
        <v/>
      </c>
      <c r="CM133" s="87" t="str">
        <f t="shared" si="14"/>
        <v/>
      </c>
      <c r="CN133" s="88" t="str">
        <f t="shared" si="26"/>
        <v/>
      </c>
      <c r="CO133" s="88" t="str">
        <f t="shared" si="15"/>
        <v/>
      </c>
      <c r="CP133" s="88" t="str">
        <f t="shared" si="16"/>
        <v/>
      </c>
      <c r="CQ133" s="88" t="str">
        <f t="shared" si="17"/>
        <v/>
      </c>
      <c r="CR133" s="88" t="str">
        <f t="shared" si="18"/>
        <v/>
      </c>
      <c r="CS133" s="88" t="str">
        <f t="shared" si="19"/>
        <v/>
      </c>
      <c r="CT133" s="88" t="str">
        <f t="shared" si="20"/>
        <v/>
      </c>
      <c r="CU133" s="88" t="str">
        <f t="shared" si="21"/>
        <v/>
      </c>
      <c r="CV133" s="88" t="str">
        <f t="shared" si="22"/>
        <v/>
      </c>
      <c r="CW133" s="88" t="str">
        <f t="shared" si="23"/>
        <v/>
      </c>
      <c r="CX133" s="7"/>
      <c r="CY133" s="7"/>
      <c r="CZ133" s="7"/>
      <c r="DA133" s="8"/>
      <c r="DU133" s="93" t="str">
        <f t="shared" si="24"/>
        <v/>
      </c>
      <c r="DV133" s="93" t="str">
        <f>ABA!$A133</f>
        <v/>
      </c>
      <c r="DW133" s="82" t="str">
        <f t="shared" si="25"/>
        <v/>
      </c>
    </row>
    <row r="134" ht="15.75" customHeight="1">
      <c r="A134" s="85"/>
      <c r="B134" s="107"/>
      <c r="C134" s="98"/>
      <c r="D134" s="98"/>
      <c r="E134" s="99"/>
      <c r="F134" s="98"/>
      <c r="G134" s="98"/>
      <c r="H134" s="98"/>
      <c r="I134" s="99"/>
      <c r="J134" s="98"/>
      <c r="K134" s="98"/>
      <c r="L134" s="98"/>
      <c r="M134" s="99"/>
      <c r="N134" s="98"/>
      <c r="O134" s="98"/>
      <c r="P134" s="98"/>
      <c r="Q134" s="99"/>
      <c r="R134" s="98"/>
      <c r="S134" s="98"/>
      <c r="T134" s="98"/>
      <c r="U134" s="99"/>
      <c r="V134" s="98"/>
      <c r="W134" s="98"/>
      <c r="X134" s="98"/>
      <c r="Y134" s="100"/>
      <c r="Z134" s="98"/>
      <c r="AA134" s="98"/>
      <c r="AB134" s="98"/>
      <c r="AC134" s="99"/>
      <c r="AD134" s="98"/>
      <c r="AE134" s="98"/>
      <c r="AF134" s="98"/>
      <c r="AG134" s="99"/>
      <c r="AH134" s="98"/>
      <c r="AI134" s="98"/>
      <c r="AJ134" s="98"/>
      <c r="AK134" s="99"/>
      <c r="AL134" s="98"/>
      <c r="AM134" s="98"/>
      <c r="AN134" s="98"/>
      <c r="AO134" s="98"/>
      <c r="AP134" s="84" t="str">
        <f t="shared" si="2"/>
        <v/>
      </c>
      <c r="AQ134" s="9"/>
      <c r="AR134" s="9"/>
      <c r="AS134" s="8"/>
      <c r="AT134" s="9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8"/>
      <c r="BX134" s="9"/>
      <c r="BY134" s="9"/>
      <c r="BZ134" s="9"/>
      <c r="CA134" s="33"/>
      <c r="CB134" s="85" t="str">
        <f t="shared" si="3"/>
        <v/>
      </c>
      <c r="CC134" s="86" t="str">
        <f t="shared" si="4"/>
        <v/>
      </c>
      <c r="CD134" s="86" t="str">
        <f t="shared" si="5"/>
        <v/>
      </c>
      <c r="CE134" s="86" t="str">
        <f t="shared" si="6"/>
        <v/>
      </c>
      <c r="CF134" s="86" t="str">
        <f t="shared" si="7"/>
        <v/>
      </c>
      <c r="CG134" s="86" t="str">
        <f t="shared" si="8"/>
        <v/>
      </c>
      <c r="CH134" s="86" t="str">
        <f t="shared" si="9"/>
        <v/>
      </c>
      <c r="CI134" s="86" t="str">
        <f t="shared" si="10"/>
        <v/>
      </c>
      <c r="CJ134" s="86" t="str">
        <f t="shared" si="11"/>
        <v/>
      </c>
      <c r="CK134" s="86" t="str">
        <f t="shared" si="12"/>
        <v/>
      </c>
      <c r="CL134" s="86" t="str">
        <f t="shared" si="13"/>
        <v/>
      </c>
      <c r="CM134" s="87" t="str">
        <f t="shared" si="14"/>
        <v/>
      </c>
      <c r="CN134" s="88" t="str">
        <f t="shared" si="26"/>
        <v/>
      </c>
      <c r="CO134" s="88" t="str">
        <f t="shared" si="15"/>
        <v/>
      </c>
      <c r="CP134" s="88" t="str">
        <f t="shared" si="16"/>
        <v/>
      </c>
      <c r="CQ134" s="88" t="str">
        <f t="shared" si="17"/>
        <v/>
      </c>
      <c r="CR134" s="88" t="str">
        <f t="shared" si="18"/>
        <v/>
      </c>
      <c r="CS134" s="88" t="str">
        <f t="shared" si="19"/>
        <v/>
      </c>
      <c r="CT134" s="88" t="str">
        <f t="shared" si="20"/>
        <v/>
      </c>
      <c r="CU134" s="88" t="str">
        <f t="shared" si="21"/>
        <v/>
      </c>
      <c r="CV134" s="88" t="str">
        <f t="shared" si="22"/>
        <v/>
      </c>
      <c r="CW134" s="88" t="str">
        <f t="shared" si="23"/>
        <v/>
      </c>
      <c r="CX134" s="7"/>
      <c r="CY134" s="7"/>
      <c r="CZ134" s="7"/>
      <c r="DA134" s="8"/>
      <c r="DU134" s="104" t="str">
        <f t="shared" si="24"/>
        <v/>
      </c>
      <c r="DV134" s="104" t="str">
        <f>ABA!$A134</f>
        <v/>
      </c>
      <c r="DW134" s="98" t="str">
        <f t="shared" si="25"/>
        <v/>
      </c>
    </row>
    <row r="135" ht="15.75" customHeight="1">
      <c r="A135" s="78"/>
      <c r="B135" s="105"/>
      <c r="C135" s="82"/>
      <c r="D135" s="82"/>
      <c r="E135" s="83"/>
      <c r="F135" s="82"/>
      <c r="G135" s="82"/>
      <c r="H135" s="82"/>
      <c r="I135" s="83"/>
      <c r="J135" s="82"/>
      <c r="K135" s="82"/>
      <c r="L135" s="82"/>
      <c r="M135" s="83"/>
      <c r="N135" s="82"/>
      <c r="O135" s="82"/>
      <c r="P135" s="82"/>
      <c r="Q135" s="83"/>
      <c r="R135" s="82"/>
      <c r="S135" s="82"/>
      <c r="T135" s="82"/>
      <c r="U135" s="83"/>
      <c r="V135" s="82"/>
      <c r="W135" s="82"/>
      <c r="X135" s="82"/>
      <c r="Y135" s="83"/>
      <c r="Z135" s="82"/>
      <c r="AA135" s="82"/>
      <c r="AB135" s="82"/>
      <c r="AC135" s="83"/>
      <c r="AD135" s="82"/>
      <c r="AE135" s="82"/>
      <c r="AF135" s="82"/>
      <c r="AG135" s="83"/>
      <c r="AH135" s="82"/>
      <c r="AI135" s="82"/>
      <c r="AJ135" s="82"/>
      <c r="AK135" s="83"/>
      <c r="AL135" s="82"/>
      <c r="AM135" s="82"/>
      <c r="AN135" s="82"/>
      <c r="AO135" s="82"/>
      <c r="AP135" s="84" t="str">
        <f t="shared" si="2"/>
        <v/>
      </c>
      <c r="AQ135" s="9"/>
      <c r="AR135" s="9"/>
      <c r="AS135" s="8"/>
      <c r="AT135" s="9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8"/>
      <c r="BX135" s="9"/>
      <c r="BY135" s="9"/>
      <c r="BZ135" s="9"/>
      <c r="CA135" s="33"/>
      <c r="CB135" s="85" t="str">
        <f t="shared" si="3"/>
        <v/>
      </c>
      <c r="CC135" s="86" t="str">
        <f t="shared" si="4"/>
        <v/>
      </c>
      <c r="CD135" s="86" t="str">
        <f t="shared" si="5"/>
        <v/>
      </c>
      <c r="CE135" s="86" t="str">
        <f t="shared" si="6"/>
        <v/>
      </c>
      <c r="CF135" s="86" t="str">
        <f t="shared" si="7"/>
        <v/>
      </c>
      <c r="CG135" s="86" t="str">
        <f t="shared" si="8"/>
        <v/>
      </c>
      <c r="CH135" s="86" t="str">
        <f t="shared" si="9"/>
        <v/>
      </c>
      <c r="CI135" s="86" t="str">
        <f t="shared" si="10"/>
        <v/>
      </c>
      <c r="CJ135" s="86" t="str">
        <f t="shared" si="11"/>
        <v/>
      </c>
      <c r="CK135" s="86" t="str">
        <f t="shared" si="12"/>
        <v/>
      </c>
      <c r="CL135" s="86" t="str">
        <f t="shared" si="13"/>
        <v/>
      </c>
      <c r="CM135" s="87" t="str">
        <f t="shared" si="14"/>
        <v/>
      </c>
      <c r="CN135" s="88" t="str">
        <f t="shared" si="26"/>
        <v/>
      </c>
      <c r="CO135" s="88" t="str">
        <f t="shared" si="15"/>
        <v/>
      </c>
      <c r="CP135" s="88" t="str">
        <f t="shared" si="16"/>
        <v/>
      </c>
      <c r="CQ135" s="88" t="str">
        <f t="shared" si="17"/>
        <v/>
      </c>
      <c r="CR135" s="88" t="str">
        <f t="shared" si="18"/>
        <v/>
      </c>
      <c r="CS135" s="88" t="str">
        <f t="shared" si="19"/>
        <v/>
      </c>
      <c r="CT135" s="88" t="str">
        <f t="shared" si="20"/>
        <v/>
      </c>
      <c r="CU135" s="88" t="str">
        <f t="shared" si="21"/>
        <v/>
      </c>
      <c r="CV135" s="88" t="str">
        <f t="shared" si="22"/>
        <v/>
      </c>
      <c r="CW135" s="88" t="str">
        <f t="shared" si="23"/>
        <v/>
      </c>
      <c r="CX135" s="7"/>
      <c r="CY135" s="7"/>
      <c r="CZ135" s="7"/>
      <c r="DA135" s="8"/>
      <c r="DU135" s="93" t="str">
        <f t="shared" si="24"/>
        <v/>
      </c>
      <c r="DV135" s="93" t="str">
        <f>ABA!$A135</f>
        <v/>
      </c>
      <c r="DW135" s="82" t="str">
        <f t="shared" si="25"/>
        <v/>
      </c>
    </row>
    <row r="136" ht="15.75" customHeight="1">
      <c r="A136" s="85"/>
      <c r="B136" s="107"/>
      <c r="C136" s="98"/>
      <c r="D136" s="98"/>
      <c r="E136" s="99"/>
      <c r="F136" s="98"/>
      <c r="G136" s="98"/>
      <c r="H136" s="98"/>
      <c r="I136" s="99"/>
      <c r="J136" s="98"/>
      <c r="K136" s="98"/>
      <c r="L136" s="98"/>
      <c r="M136" s="99"/>
      <c r="N136" s="98"/>
      <c r="O136" s="98"/>
      <c r="P136" s="98"/>
      <c r="Q136" s="99"/>
      <c r="R136" s="98"/>
      <c r="S136" s="98"/>
      <c r="T136" s="98"/>
      <c r="U136" s="99"/>
      <c r="V136" s="98"/>
      <c r="W136" s="98"/>
      <c r="X136" s="98"/>
      <c r="Y136" s="100"/>
      <c r="Z136" s="98"/>
      <c r="AA136" s="98"/>
      <c r="AB136" s="98"/>
      <c r="AC136" s="99"/>
      <c r="AD136" s="98"/>
      <c r="AE136" s="98"/>
      <c r="AF136" s="98"/>
      <c r="AG136" s="99"/>
      <c r="AH136" s="98"/>
      <c r="AI136" s="98"/>
      <c r="AJ136" s="98"/>
      <c r="AK136" s="99"/>
      <c r="AL136" s="98"/>
      <c r="AM136" s="98"/>
      <c r="AN136" s="98"/>
      <c r="AO136" s="98"/>
      <c r="AP136" s="84" t="str">
        <f t="shared" si="2"/>
        <v/>
      </c>
      <c r="AQ136" s="9"/>
      <c r="AR136" s="9"/>
      <c r="AS136" s="8"/>
      <c r="AT136" s="9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8"/>
      <c r="BX136" s="9"/>
      <c r="BY136" s="9"/>
      <c r="BZ136" s="9"/>
      <c r="CA136" s="33"/>
      <c r="CB136" s="85" t="str">
        <f t="shared" si="3"/>
        <v/>
      </c>
      <c r="CC136" s="86" t="str">
        <f t="shared" si="4"/>
        <v/>
      </c>
      <c r="CD136" s="86" t="str">
        <f t="shared" si="5"/>
        <v/>
      </c>
      <c r="CE136" s="86" t="str">
        <f t="shared" si="6"/>
        <v/>
      </c>
      <c r="CF136" s="86" t="str">
        <f t="shared" si="7"/>
        <v/>
      </c>
      <c r="CG136" s="86" t="str">
        <f t="shared" si="8"/>
        <v/>
      </c>
      <c r="CH136" s="86" t="str">
        <f t="shared" si="9"/>
        <v/>
      </c>
      <c r="CI136" s="86" t="str">
        <f t="shared" si="10"/>
        <v/>
      </c>
      <c r="CJ136" s="86" t="str">
        <f t="shared" si="11"/>
        <v/>
      </c>
      <c r="CK136" s="86" t="str">
        <f t="shared" si="12"/>
        <v/>
      </c>
      <c r="CL136" s="86" t="str">
        <f t="shared" si="13"/>
        <v/>
      </c>
      <c r="CM136" s="87" t="str">
        <f t="shared" si="14"/>
        <v/>
      </c>
      <c r="CN136" s="88" t="str">
        <f t="shared" si="26"/>
        <v/>
      </c>
      <c r="CO136" s="88" t="str">
        <f t="shared" si="15"/>
        <v/>
      </c>
      <c r="CP136" s="88" t="str">
        <f t="shared" si="16"/>
        <v/>
      </c>
      <c r="CQ136" s="88" t="str">
        <f t="shared" si="17"/>
        <v/>
      </c>
      <c r="CR136" s="88" t="str">
        <f t="shared" si="18"/>
        <v/>
      </c>
      <c r="CS136" s="88" t="str">
        <f t="shared" si="19"/>
        <v/>
      </c>
      <c r="CT136" s="88" t="str">
        <f t="shared" si="20"/>
        <v/>
      </c>
      <c r="CU136" s="88" t="str">
        <f t="shared" si="21"/>
        <v/>
      </c>
      <c r="CV136" s="88" t="str">
        <f t="shared" si="22"/>
        <v/>
      </c>
      <c r="CW136" s="88" t="str">
        <f t="shared" si="23"/>
        <v/>
      </c>
      <c r="CX136" s="7"/>
      <c r="CY136" s="7"/>
      <c r="CZ136" s="7"/>
      <c r="DA136" s="8"/>
      <c r="DU136" s="104" t="str">
        <f t="shared" si="24"/>
        <v/>
      </c>
      <c r="DV136" s="104" t="str">
        <f>ABA!$A136</f>
        <v/>
      </c>
      <c r="DW136" s="98" t="str">
        <f t="shared" si="25"/>
        <v/>
      </c>
    </row>
    <row r="137" ht="15.75" customHeight="1">
      <c r="A137" s="78"/>
      <c r="B137" s="105"/>
      <c r="C137" s="82"/>
      <c r="D137" s="82"/>
      <c r="E137" s="83"/>
      <c r="F137" s="82"/>
      <c r="G137" s="82"/>
      <c r="H137" s="82"/>
      <c r="I137" s="83"/>
      <c r="J137" s="82"/>
      <c r="K137" s="82"/>
      <c r="L137" s="82"/>
      <c r="M137" s="83"/>
      <c r="N137" s="82"/>
      <c r="O137" s="82"/>
      <c r="P137" s="82"/>
      <c r="Q137" s="83"/>
      <c r="R137" s="82"/>
      <c r="S137" s="82"/>
      <c r="T137" s="82"/>
      <c r="U137" s="83"/>
      <c r="V137" s="82"/>
      <c r="W137" s="82"/>
      <c r="X137" s="82"/>
      <c r="Y137" s="83"/>
      <c r="Z137" s="82"/>
      <c r="AA137" s="82"/>
      <c r="AB137" s="82"/>
      <c r="AC137" s="83"/>
      <c r="AD137" s="82"/>
      <c r="AE137" s="82"/>
      <c r="AF137" s="82"/>
      <c r="AG137" s="83"/>
      <c r="AH137" s="82"/>
      <c r="AI137" s="82"/>
      <c r="AJ137" s="82"/>
      <c r="AK137" s="83"/>
      <c r="AL137" s="82"/>
      <c r="AM137" s="82"/>
      <c r="AN137" s="82"/>
      <c r="AO137" s="82"/>
      <c r="AP137" s="84" t="str">
        <f t="shared" si="2"/>
        <v/>
      </c>
      <c r="AQ137" s="9"/>
      <c r="AR137" s="9"/>
      <c r="AS137" s="8"/>
      <c r="AT137" s="9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8"/>
      <c r="BX137" s="9"/>
      <c r="BY137" s="9"/>
      <c r="BZ137" s="9"/>
      <c r="CA137" s="33"/>
      <c r="CB137" s="85" t="str">
        <f t="shared" si="3"/>
        <v/>
      </c>
      <c r="CC137" s="86" t="str">
        <f t="shared" si="4"/>
        <v/>
      </c>
      <c r="CD137" s="86" t="str">
        <f t="shared" si="5"/>
        <v/>
      </c>
      <c r="CE137" s="86" t="str">
        <f t="shared" si="6"/>
        <v/>
      </c>
      <c r="CF137" s="86" t="str">
        <f t="shared" si="7"/>
        <v/>
      </c>
      <c r="CG137" s="86" t="str">
        <f t="shared" si="8"/>
        <v/>
      </c>
      <c r="CH137" s="86" t="str">
        <f t="shared" si="9"/>
        <v/>
      </c>
      <c r="CI137" s="86" t="str">
        <f t="shared" si="10"/>
        <v/>
      </c>
      <c r="CJ137" s="86" t="str">
        <f t="shared" si="11"/>
        <v/>
      </c>
      <c r="CK137" s="86" t="str">
        <f t="shared" si="12"/>
        <v/>
      </c>
      <c r="CL137" s="86" t="str">
        <f t="shared" si="13"/>
        <v/>
      </c>
      <c r="CM137" s="87" t="str">
        <f t="shared" si="14"/>
        <v/>
      </c>
      <c r="CN137" s="88" t="str">
        <f t="shared" si="26"/>
        <v/>
      </c>
      <c r="CO137" s="88" t="str">
        <f t="shared" si="15"/>
        <v/>
      </c>
      <c r="CP137" s="88" t="str">
        <f t="shared" si="16"/>
        <v/>
      </c>
      <c r="CQ137" s="88" t="str">
        <f t="shared" si="17"/>
        <v/>
      </c>
      <c r="CR137" s="88" t="str">
        <f t="shared" si="18"/>
        <v/>
      </c>
      <c r="CS137" s="88" t="str">
        <f t="shared" si="19"/>
        <v/>
      </c>
      <c r="CT137" s="88" t="str">
        <f t="shared" si="20"/>
        <v/>
      </c>
      <c r="CU137" s="88" t="str">
        <f t="shared" si="21"/>
        <v/>
      </c>
      <c r="CV137" s="88" t="str">
        <f t="shared" si="22"/>
        <v/>
      </c>
      <c r="CW137" s="88" t="str">
        <f t="shared" si="23"/>
        <v/>
      </c>
      <c r="CX137" s="7"/>
      <c r="CY137" s="7"/>
      <c r="CZ137" s="7"/>
      <c r="DA137" s="8"/>
      <c r="DU137" s="93" t="str">
        <f t="shared" si="24"/>
        <v/>
      </c>
      <c r="DV137" s="93" t="str">
        <f>ABA!$A137</f>
        <v/>
      </c>
      <c r="DW137" s="82" t="str">
        <f t="shared" si="25"/>
        <v/>
      </c>
    </row>
    <row r="138" ht="15.75" customHeight="1">
      <c r="A138" s="85"/>
      <c r="B138" s="107"/>
      <c r="C138" s="98"/>
      <c r="D138" s="98"/>
      <c r="E138" s="99"/>
      <c r="F138" s="98"/>
      <c r="G138" s="98"/>
      <c r="H138" s="98"/>
      <c r="I138" s="99"/>
      <c r="J138" s="98"/>
      <c r="K138" s="98"/>
      <c r="L138" s="98"/>
      <c r="M138" s="99"/>
      <c r="N138" s="98"/>
      <c r="O138" s="98"/>
      <c r="P138" s="98"/>
      <c r="Q138" s="99"/>
      <c r="R138" s="98"/>
      <c r="S138" s="98"/>
      <c r="T138" s="98"/>
      <c r="U138" s="99"/>
      <c r="V138" s="98"/>
      <c r="W138" s="98"/>
      <c r="X138" s="98"/>
      <c r="Y138" s="100"/>
      <c r="Z138" s="98"/>
      <c r="AA138" s="98"/>
      <c r="AB138" s="98"/>
      <c r="AC138" s="99"/>
      <c r="AD138" s="98"/>
      <c r="AE138" s="98"/>
      <c r="AF138" s="98"/>
      <c r="AG138" s="99"/>
      <c r="AH138" s="98"/>
      <c r="AI138" s="98"/>
      <c r="AJ138" s="98"/>
      <c r="AK138" s="99"/>
      <c r="AL138" s="98"/>
      <c r="AM138" s="98"/>
      <c r="AN138" s="98"/>
      <c r="AO138" s="98"/>
      <c r="AP138" s="84" t="str">
        <f t="shared" si="2"/>
        <v/>
      </c>
      <c r="AQ138" s="9"/>
      <c r="AR138" s="9"/>
      <c r="AS138" s="8"/>
      <c r="AT138" s="9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8"/>
      <c r="BX138" s="9"/>
      <c r="BY138" s="9"/>
      <c r="BZ138" s="9"/>
      <c r="CA138" s="33"/>
      <c r="CB138" s="85" t="str">
        <f t="shared" si="3"/>
        <v/>
      </c>
      <c r="CC138" s="86" t="str">
        <f t="shared" si="4"/>
        <v/>
      </c>
      <c r="CD138" s="86" t="str">
        <f t="shared" si="5"/>
        <v/>
      </c>
      <c r="CE138" s="86" t="str">
        <f t="shared" si="6"/>
        <v/>
      </c>
      <c r="CF138" s="86" t="str">
        <f t="shared" si="7"/>
        <v/>
      </c>
      <c r="CG138" s="86" t="str">
        <f t="shared" si="8"/>
        <v/>
      </c>
      <c r="CH138" s="86" t="str">
        <f t="shared" si="9"/>
        <v/>
      </c>
      <c r="CI138" s="86" t="str">
        <f t="shared" si="10"/>
        <v/>
      </c>
      <c r="CJ138" s="86" t="str">
        <f t="shared" si="11"/>
        <v/>
      </c>
      <c r="CK138" s="86" t="str">
        <f t="shared" si="12"/>
        <v/>
      </c>
      <c r="CL138" s="86" t="str">
        <f t="shared" si="13"/>
        <v/>
      </c>
      <c r="CM138" s="87" t="str">
        <f t="shared" si="14"/>
        <v/>
      </c>
      <c r="CN138" s="88" t="str">
        <f t="shared" si="26"/>
        <v/>
      </c>
      <c r="CO138" s="88" t="str">
        <f t="shared" si="15"/>
        <v/>
      </c>
      <c r="CP138" s="88" t="str">
        <f t="shared" si="16"/>
        <v/>
      </c>
      <c r="CQ138" s="88" t="str">
        <f t="shared" si="17"/>
        <v/>
      </c>
      <c r="CR138" s="88" t="str">
        <f t="shared" si="18"/>
        <v/>
      </c>
      <c r="CS138" s="88" t="str">
        <f t="shared" si="19"/>
        <v/>
      </c>
      <c r="CT138" s="88" t="str">
        <f t="shared" si="20"/>
        <v/>
      </c>
      <c r="CU138" s="88" t="str">
        <f t="shared" si="21"/>
        <v/>
      </c>
      <c r="CV138" s="88" t="str">
        <f t="shared" si="22"/>
        <v/>
      </c>
      <c r="CW138" s="88" t="str">
        <f t="shared" si="23"/>
        <v/>
      </c>
      <c r="CX138" s="7"/>
      <c r="CY138" s="7"/>
      <c r="CZ138" s="7"/>
      <c r="DA138" s="8"/>
      <c r="DU138" s="104" t="str">
        <f t="shared" si="24"/>
        <v/>
      </c>
      <c r="DV138" s="104" t="str">
        <f>ABA!$A138</f>
        <v/>
      </c>
      <c r="DW138" s="98" t="str">
        <f t="shared" si="25"/>
        <v/>
      </c>
    </row>
    <row r="139" ht="15.75" customHeight="1">
      <c r="A139" s="78"/>
      <c r="B139" s="105"/>
      <c r="C139" s="82"/>
      <c r="D139" s="82"/>
      <c r="E139" s="83"/>
      <c r="F139" s="82"/>
      <c r="G139" s="82"/>
      <c r="H139" s="82"/>
      <c r="I139" s="83"/>
      <c r="J139" s="82"/>
      <c r="K139" s="82"/>
      <c r="L139" s="82"/>
      <c r="M139" s="83"/>
      <c r="N139" s="82"/>
      <c r="O139" s="82"/>
      <c r="P139" s="82"/>
      <c r="Q139" s="83"/>
      <c r="R139" s="82"/>
      <c r="S139" s="82"/>
      <c r="T139" s="82"/>
      <c r="U139" s="83"/>
      <c r="V139" s="82"/>
      <c r="W139" s="82"/>
      <c r="X139" s="82"/>
      <c r="Y139" s="83"/>
      <c r="Z139" s="82"/>
      <c r="AA139" s="82"/>
      <c r="AB139" s="82"/>
      <c r="AC139" s="83"/>
      <c r="AD139" s="82"/>
      <c r="AE139" s="82"/>
      <c r="AF139" s="82"/>
      <c r="AG139" s="83"/>
      <c r="AH139" s="82"/>
      <c r="AI139" s="82"/>
      <c r="AJ139" s="82"/>
      <c r="AK139" s="83"/>
      <c r="AL139" s="82"/>
      <c r="AM139" s="82"/>
      <c r="AN139" s="82"/>
      <c r="AO139" s="82"/>
      <c r="AP139" s="84" t="str">
        <f t="shared" si="2"/>
        <v/>
      </c>
      <c r="AQ139" s="9"/>
      <c r="AR139" s="9"/>
      <c r="AS139" s="8"/>
      <c r="AT139" s="9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8"/>
      <c r="BX139" s="9"/>
      <c r="BY139" s="9"/>
      <c r="BZ139" s="9"/>
      <c r="CA139" s="33"/>
      <c r="CB139" s="85" t="str">
        <f t="shared" si="3"/>
        <v/>
      </c>
      <c r="CC139" s="86" t="str">
        <f t="shared" si="4"/>
        <v/>
      </c>
      <c r="CD139" s="86" t="str">
        <f t="shared" si="5"/>
        <v/>
      </c>
      <c r="CE139" s="86" t="str">
        <f t="shared" si="6"/>
        <v/>
      </c>
      <c r="CF139" s="86" t="str">
        <f t="shared" si="7"/>
        <v/>
      </c>
      <c r="CG139" s="86" t="str">
        <f t="shared" si="8"/>
        <v/>
      </c>
      <c r="CH139" s="86" t="str">
        <f t="shared" si="9"/>
        <v/>
      </c>
      <c r="CI139" s="86" t="str">
        <f t="shared" si="10"/>
        <v/>
      </c>
      <c r="CJ139" s="86" t="str">
        <f t="shared" si="11"/>
        <v/>
      </c>
      <c r="CK139" s="86" t="str">
        <f t="shared" si="12"/>
        <v/>
      </c>
      <c r="CL139" s="86" t="str">
        <f t="shared" si="13"/>
        <v/>
      </c>
      <c r="CM139" s="87" t="str">
        <f t="shared" si="14"/>
        <v/>
      </c>
      <c r="CN139" s="88" t="str">
        <f t="shared" si="26"/>
        <v/>
      </c>
      <c r="CO139" s="88" t="str">
        <f t="shared" si="15"/>
        <v/>
      </c>
      <c r="CP139" s="88" t="str">
        <f t="shared" si="16"/>
        <v/>
      </c>
      <c r="CQ139" s="88" t="str">
        <f t="shared" si="17"/>
        <v/>
      </c>
      <c r="CR139" s="88" t="str">
        <f t="shared" si="18"/>
        <v/>
      </c>
      <c r="CS139" s="88" t="str">
        <f t="shared" si="19"/>
        <v/>
      </c>
      <c r="CT139" s="88" t="str">
        <f t="shared" si="20"/>
        <v/>
      </c>
      <c r="CU139" s="88" t="str">
        <f t="shared" si="21"/>
        <v/>
      </c>
      <c r="CV139" s="88" t="str">
        <f t="shared" si="22"/>
        <v/>
      </c>
      <c r="CW139" s="88" t="str">
        <f t="shared" si="23"/>
        <v/>
      </c>
      <c r="CX139" s="7"/>
      <c r="CY139" s="7"/>
      <c r="CZ139" s="7"/>
      <c r="DA139" s="8"/>
      <c r="DU139" s="93" t="str">
        <f t="shared" si="24"/>
        <v/>
      </c>
      <c r="DV139" s="93" t="str">
        <f>ABA!$A139</f>
        <v/>
      </c>
      <c r="DW139" s="82" t="str">
        <f t="shared" si="25"/>
        <v/>
      </c>
    </row>
    <row r="140" ht="15.75" customHeight="1">
      <c r="A140" s="85"/>
      <c r="B140" s="107"/>
      <c r="C140" s="98"/>
      <c r="D140" s="98"/>
      <c r="E140" s="99"/>
      <c r="F140" s="98"/>
      <c r="G140" s="98"/>
      <c r="H140" s="98"/>
      <c r="I140" s="99"/>
      <c r="J140" s="98"/>
      <c r="K140" s="98"/>
      <c r="L140" s="98"/>
      <c r="M140" s="99"/>
      <c r="N140" s="98"/>
      <c r="O140" s="98"/>
      <c r="P140" s="98"/>
      <c r="Q140" s="99"/>
      <c r="R140" s="98"/>
      <c r="S140" s="98"/>
      <c r="T140" s="98"/>
      <c r="U140" s="99"/>
      <c r="V140" s="98"/>
      <c r="W140" s="98"/>
      <c r="X140" s="98"/>
      <c r="Y140" s="100"/>
      <c r="Z140" s="98"/>
      <c r="AA140" s="98"/>
      <c r="AB140" s="98"/>
      <c r="AC140" s="99"/>
      <c r="AD140" s="98"/>
      <c r="AE140" s="98"/>
      <c r="AF140" s="98"/>
      <c r="AG140" s="99"/>
      <c r="AH140" s="98"/>
      <c r="AI140" s="98"/>
      <c r="AJ140" s="98"/>
      <c r="AK140" s="99"/>
      <c r="AL140" s="98"/>
      <c r="AM140" s="98"/>
      <c r="AN140" s="98"/>
      <c r="AO140" s="98"/>
      <c r="AP140" s="84" t="str">
        <f t="shared" si="2"/>
        <v/>
      </c>
      <c r="AQ140" s="9"/>
      <c r="AR140" s="9"/>
      <c r="AS140" s="8"/>
      <c r="AT140" s="9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8"/>
      <c r="BX140" s="9"/>
      <c r="BY140" s="9"/>
      <c r="BZ140" s="9"/>
      <c r="CA140" s="33"/>
      <c r="CB140" s="85" t="str">
        <f t="shared" si="3"/>
        <v/>
      </c>
      <c r="CC140" s="86" t="str">
        <f t="shared" si="4"/>
        <v/>
      </c>
      <c r="CD140" s="86" t="str">
        <f t="shared" si="5"/>
        <v/>
      </c>
      <c r="CE140" s="86" t="str">
        <f t="shared" si="6"/>
        <v/>
      </c>
      <c r="CF140" s="86" t="str">
        <f t="shared" si="7"/>
        <v/>
      </c>
      <c r="CG140" s="86" t="str">
        <f t="shared" si="8"/>
        <v/>
      </c>
      <c r="CH140" s="86" t="str">
        <f t="shared" si="9"/>
        <v/>
      </c>
      <c r="CI140" s="86" t="str">
        <f t="shared" si="10"/>
        <v/>
      </c>
      <c r="CJ140" s="86" t="str">
        <f t="shared" si="11"/>
        <v/>
      </c>
      <c r="CK140" s="86" t="str">
        <f t="shared" si="12"/>
        <v/>
      </c>
      <c r="CL140" s="86" t="str">
        <f t="shared" si="13"/>
        <v/>
      </c>
      <c r="CM140" s="87" t="str">
        <f t="shared" si="14"/>
        <v/>
      </c>
      <c r="CN140" s="88" t="str">
        <f t="shared" si="26"/>
        <v/>
      </c>
      <c r="CO140" s="88" t="str">
        <f t="shared" si="15"/>
        <v/>
      </c>
      <c r="CP140" s="88" t="str">
        <f t="shared" si="16"/>
        <v/>
      </c>
      <c r="CQ140" s="88" t="str">
        <f t="shared" si="17"/>
        <v/>
      </c>
      <c r="CR140" s="88" t="str">
        <f t="shared" si="18"/>
        <v/>
      </c>
      <c r="CS140" s="88" t="str">
        <f t="shared" si="19"/>
        <v/>
      </c>
      <c r="CT140" s="88" t="str">
        <f t="shared" si="20"/>
        <v/>
      </c>
      <c r="CU140" s="88" t="str">
        <f t="shared" si="21"/>
        <v/>
      </c>
      <c r="CV140" s="88" t="str">
        <f t="shared" si="22"/>
        <v/>
      </c>
      <c r="CW140" s="88" t="str">
        <f t="shared" si="23"/>
        <v/>
      </c>
      <c r="CX140" s="7"/>
      <c r="CY140" s="7"/>
      <c r="CZ140" s="7"/>
      <c r="DA140" s="8"/>
      <c r="DU140" s="104" t="str">
        <f t="shared" si="24"/>
        <v/>
      </c>
      <c r="DV140" s="104" t="str">
        <f>ABA!$A140</f>
        <v/>
      </c>
      <c r="DW140" s="98" t="str">
        <f t="shared" si="25"/>
        <v/>
      </c>
    </row>
    <row r="141" ht="15.75" customHeight="1">
      <c r="A141" s="78"/>
      <c r="B141" s="105"/>
      <c r="C141" s="82"/>
      <c r="D141" s="82"/>
      <c r="E141" s="83"/>
      <c r="F141" s="82"/>
      <c r="G141" s="82"/>
      <c r="H141" s="82"/>
      <c r="I141" s="83"/>
      <c r="J141" s="82"/>
      <c r="K141" s="82"/>
      <c r="L141" s="82"/>
      <c r="M141" s="83"/>
      <c r="N141" s="82"/>
      <c r="O141" s="82"/>
      <c r="P141" s="82"/>
      <c r="Q141" s="83"/>
      <c r="R141" s="82"/>
      <c r="S141" s="82"/>
      <c r="T141" s="82"/>
      <c r="U141" s="83"/>
      <c r="V141" s="82"/>
      <c r="W141" s="82"/>
      <c r="X141" s="82"/>
      <c r="Y141" s="83"/>
      <c r="Z141" s="82"/>
      <c r="AA141" s="82"/>
      <c r="AB141" s="82"/>
      <c r="AC141" s="83"/>
      <c r="AD141" s="82"/>
      <c r="AE141" s="82"/>
      <c r="AF141" s="82"/>
      <c r="AG141" s="83"/>
      <c r="AH141" s="82"/>
      <c r="AI141" s="82"/>
      <c r="AJ141" s="82"/>
      <c r="AK141" s="83"/>
      <c r="AL141" s="82"/>
      <c r="AM141" s="82"/>
      <c r="AN141" s="82"/>
      <c r="AO141" s="82"/>
      <c r="AP141" s="84" t="str">
        <f t="shared" si="2"/>
        <v/>
      </c>
      <c r="AQ141" s="9"/>
      <c r="AR141" s="9"/>
      <c r="AS141" s="8"/>
      <c r="AT141" s="9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8"/>
      <c r="BX141" s="9"/>
      <c r="BY141" s="9"/>
      <c r="BZ141" s="9"/>
      <c r="CA141" s="33"/>
      <c r="CB141" s="85" t="str">
        <f t="shared" si="3"/>
        <v/>
      </c>
      <c r="CC141" s="86" t="str">
        <f t="shared" si="4"/>
        <v/>
      </c>
      <c r="CD141" s="86" t="str">
        <f t="shared" si="5"/>
        <v/>
      </c>
      <c r="CE141" s="86" t="str">
        <f t="shared" si="6"/>
        <v/>
      </c>
      <c r="CF141" s="86" t="str">
        <f t="shared" si="7"/>
        <v/>
      </c>
      <c r="CG141" s="86" t="str">
        <f t="shared" si="8"/>
        <v/>
      </c>
      <c r="CH141" s="86" t="str">
        <f t="shared" si="9"/>
        <v/>
      </c>
      <c r="CI141" s="86" t="str">
        <f t="shared" si="10"/>
        <v/>
      </c>
      <c r="CJ141" s="86" t="str">
        <f t="shared" si="11"/>
        <v/>
      </c>
      <c r="CK141" s="86" t="str">
        <f t="shared" si="12"/>
        <v/>
      </c>
      <c r="CL141" s="86" t="str">
        <f t="shared" si="13"/>
        <v/>
      </c>
      <c r="CM141" s="87" t="str">
        <f t="shared" si="14"/>
        <v/>
      </c>
      <c r="CN141" s="88" t="str">
        <f t="shared" si="26"/>
        <v/>
      </c>
      <c r="CO141" s="88" t="str">
        <f t="shared" si="15"/>
        <v/>
      </c>
      <c r="CP141" s="88" t="str">
        <f t="shared" si="16"/>
        <v/>
      </c>
      <c r="CQ141" s="88" t="str">
        <f t="shared" si="17"/>
        <v/>
      </c>
      <c r="CR141" s="88" t="str">
        <f t="shared" si="18"/>
        <v/>
      </c>
      <c r="CS141" s="88" t="str">
        <f t="shared" si="19"/>
        <v/>
      </c>
      <c r="CT141" s="88" t="str">
        <f t="shared" si="20"/>
        <v/>
      </c>
      <c r="CU141" s="88" t="str">
        <f t="shared" si="21"/>
        <v/>
      </c>
      <c r="CV141" s="88" t="str">
        <f t="shared" si="22"/>
        <v/>
      </c>
      <c r="CW141" s="88" t="str">
        <f t="shared" si="23"/>
        <v/>
      </c>
      <c r="CX141" s="7"/>
      <c r="CY141" s="7"/>
      <c r="CZ141" s="7"/>
      <c r="DA141" s="8"/>
      <c r="DU141" s="93" t="str">
        <f t="shared" si="24"/>
        <v/>
      </c>
      <c r="DV141" s="93" t="str">
        <f>ABA!$A141</f>
        <v/>
      </c>
      <c r="DW141" s="82" t="str">
        <f t="shared" si="25"/>
        <v/>
      </c>
    </row>
    <row r="142" ht="15.75" customHeight="1">
      <c r="A142" s="85"/>
      <c r="B142" s="107"/>
      <c r="C142" s="98"/>
      <c r="D142" s="98"/>
      <c r="E142" s="99"/>
      <c r="F142" s="98"/>
      <c r="G142" s="98"/>
      <c r="H142" s="98"/>
      <c r="I142" s="99"/>
      <c r="J142" s="98"/>
      <c r="K142" s="98"/>
      <c r="L142" s="98"/>
      <c r="M142" s="99"/>
      <c r="N142" s="98"/>
      <c r="O142" s="98"/>
      <c r="P142" s="98"/>
      <c r="Q142" s="99"/>
      <c r="R142" s="98"/>
      <c r="S142" s="98"/>
      <c r="T142" s="98"/>
      <c r="U142" s="99"/>
      <c r="V142" s="98"/>
      <c r="W142" s="98"/>
      <c r="X142" s="98"/>
      <c r="Y142" s="100"/>
      <c r="Z142" s="98"/>
      <c r="AA142" s="98"/>
      <c r="AB142" s="98"/>
      <c r="AC142" s="99"/>
      <c r="AD142" s="98"/>
      <c r="AE142" s="98"/>
      <c r="AF142" s="98"/>
      <c r="AG142" s="99"/>
      <c r="AH142" s="98"/>
      <c r="AI142" s="98"/>
      <c r="AJ142" s="98"/>
      <c r="AK142" s="99"/>
      <c r="AL142" s="98"/>
      <c r="AM142" s="98"/>
      <c r="AN142" s="98"/>
      <c r="AO142" s="98"/>
      <c r="AP142" s="84" t="str">
        <f t="shared" si="2"/>
        <v/>
      </c>
      <c r="AQ142" s="9"/>
      <c r="AR142" s="9"/>
      <c r="AS142" s="8"/>
      <c r="AT142" s="9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8"/>
      <c r="BX142" s="9"/>
      <c r="BY142" s="9"/>
      <c r="BZ142" s="9"/>
      <c r="CA142" s="33"/>
      <c r="CB142" s="85" t="str">
        <f t="shared" si="3"/>
        <v/>
      </c>
      <c r="CC142" s="86" t="str">
        <f t="shared" si="4"/>
        <v/>
      </c>
      <c r="CD142" s="86" t="str">
        <f t="shared" si="5"/>
        <v/>
      </c>
      <c r="CE142" s="86" t="str">
        <f t="shared" si="6"/>
        <v/>
      </c>
      <c r="CF142" s="86" t="str">
        <f t="shared" si="7"/>
        <v/>
      </c>
      <c r="CG142" s="86" t="str">
        <f t="shared" si="8"/>
        <v/>
      </c>
      <c r="CH142" s="86" t="str">
        <f t="shared" si="9"/>
        <v/>
      </c>
      <c r="CI142" s="86" t="str">
        <f t="shared" si="10"/>
        <v/>
      </c>
      <c r="CJ142" s="86" t="str">
        <f t="shared" si="11"/>
        <v/>
      </c>
      <c r="CK142" s="86" t="str">
        <f t="shared" si="12"/>
        <v/>
      </c>
      <c r="CL142" s="86" t="str">
        <f t="shared" si="13"/>
        <v/>
      </c>
      <c r="CM142" s="87" t="str">
        <f t="shared" si="14"/>
        <v/>
      </c>
      <c r="CN142" s="88" t="str">
        <f t="shared" si="26"/>
        <v/>
      </c>
      <c r="CO142" s="88" t="str">
        <f t="shared" si="15"/>
        <v/>
      </c>
      <c r="CP142" s="88" t="str">
        <f t="shared" si="16"/>
        <v/>
      </c>
      <c r="CQ142" s="88" t="str">
        <f t="shared" si="17"/>
        <v/>
      </c>
      <c r="CR142" s="88" t="str">
        <f t="shared" si="18"/>
        <v/>
      </c>
      <c r="CS142" s="88" t="str">
        <f t="shared" si="19"/>
        <v/>
      </c>
      <c r="CT142" s="88" t="str">
        <f t="shared" si="20"/>
        <v/>
      </c>
      <c r="CU142" s="88" t="str">
        <f t="shared" si="21"/>
        <v/>
      </c>
      <c r="CV142" s="88" t="str">
        <f t="shared" si="22"/>
        <v/>
      </c>
      <c r="CW142" s="88" t="str">
        <f t="shared" si="23"/>
        <v/>
      </c>
      <c r="CX142" s="7"/>
      <c r="CY142" s="7"/>
      <c r="CZ142" s="7"/>
      <c r="DA142" s="8"/>
      <c r="DU142" s="104" t="str">
        <f t="shared" si="24"/>
        <v/>
      </c>
      <c r="DV142" s="104" t="str">
        <f>ABA!$A142</f>
        <v/>
      </c>
      <c r="DW142" s="98" t="str">
        <f t="shared" si="25"/>
        <v/>
      </c>
    </row>
    <row r="143" ht="15.75" customHeight="1">
      <c r="A143" s="78"/>
      <c r="B143" s="105"/>
      <c r="C143" s="82"/>
      <c r="D143" s="82"/>
      <c r="E143" s="83"/>
      <c r="F143" s="82"/>
      <c r="G143" s="82"/>
      <c r="H143" s="82"/>
      <c r="I143" s="83"/>
      <c r="J143" s="82"/>
      <c r="K143" s="82"/>
      <c r="L143" s="82"/>
      <c r="M143" s="83"/>
      <c r="N143" s="82"/>
      <c r="O143" s="82"/>
      <c r="P143" s="82"/>
      <c r="Q143" s="83"/>
      <c r="R143" s="82"/>
      <c r="S143" s="82"/>
      <c r="T143" s="82"/>
      <c r="U143" s="83"/>
      <c r="V143" s="82"/>
      <c r="W143" s="82"/>
      <c r="X143" s="82"/>
      <c r="Y143" s="83"/>
      <c r="Z143" s="82"/>
      <c r="AA143" s="82"/>
      <c r="AB143" s="82"/>
      <c r="AC143" s="83"/>
      <c r="AD143" s="82"/>
      <c r="AE143" s="82"/>
      <c r="AF143" s="82"/>
      <c r="AG143" s="83"/>
      <c r="AH143" s="82"/>
      <c r="AI143" s="82"/>
      <c r="AJ143" s="82"/>
      <c r="AK143" s="83"/>
      <c r="AL143" s="82"/>
      <c r="AM143" s="82"/>
      <c r="AN143" s="82"/>
      <c r="AO143" s="82"/>
      <c r="AP143" s="84" t="str">
        <f t="shared" si="2"/>
        <v/>
      </c>
      <c r="AQ143" s="9"/>
      <c r="AR143" s="9"/>
      <c r="AS143" s="8"/>
      <c r="AT143" s="9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8"/>
      <c r="BX143" s="9"/>
      <c r="BY143" s="9"/>
      <c r="BZ143" s="9"/>
      <c r="CA143" s="33"/>
      <c r="CB143" s="85" t="str">
        <f t="shared" si="3"/>
        <v/>
      </c>
      <c r="CC143" s="86" t="str">
        <f t="shared" si="4"/>
        <v/>
      </c>
      <c r="CD143" s="86" t="str">
        <f t="shared" si="5"/>
        <v/>
      </c>
      <c r="CE143" s="86" t="str">
        <f t="shared" si="6"/>
        <v/>
      </c>
      <c r="CF143" s="86" t="str">
        <f t="shared" si="7"/>
        <v/>
      </c>
      <c r="CG143" s="86" t="str">
        <f t="shared" si="8"/>
        <v/>
      </c>
      <c r="CH143" s="86" t="str">
        <f t="shared" si="9"/>
        <v/>
      </c>
      <c r="CI143" s="86" t="str">
        <f t="shared" si="10"/>
        <v/>
      </c>
      <c r="CJ143" s="86" t="str">
        <f t="shared" si="11"/>
        <v/>
      </c>
      <c r="CK143" s="86" t="str">
        <f t="shared" si="12"/>
        <v/>
      </c>
      <c r="CL143" s="86" t="str">
        <f t="shared" si="13"/>
        <v/>
      </c>
      <c r="CM143" s="87" t="str">
        <f t="shared" si="14"/>
        <v/>
      </c>
      <c r="CN143" s="88" t="str">
        <f t="shared" si="26"/>
        <v/>
      </c>
      <c r="CO143" s="88" t="str">
        <f t="shared" si="15"/>
        <v/>
      </c>
      <c r="CP143" s="88" t="str">
        <f t="shared" si="16"/>
        <v/>
      </c>
      <c r="CQ143" s="88" t="str">
        <f t="shared" si="17"/>
        <v/>
      </c>
      <c r="CR143" s="88" t="str">
        <f t="shared" si="18"/>
        <v/>
      </c>
      <c r="CS143" s="88" t="str">
        <f t="shared" si="19"/>
        <v/>
      </c>
      <c r="CT143" s="88" t="str">
        <f t="shared" si="20"/>
        <v/>
      </c>
      <c r="CU143" s="88" t="str">
        <f t="shared" si="21"/>
        <v/>
      </c>
      <c r="CV143" s="88" t="str">
        <f t="shared" si="22"/>
        <v/>
      </c>
      <c r="CW143" s="88" t="str">
        <f t="shared" si="23"/>
        <v/>
      </c>
      <c r="CX143" s="7"/>
      <c r="CY143" s="7"/>
      <c r="CZ143" s="7"/>
      <c r="DA143" s="8"/>
      <c r="DU143" s="93" t="str">
        <f t="shared" si="24"/>
        <v/>
      </c>
      <c r="DV143" s="93" t="str">
        <f>ABA!$A143</f>
        <v/>
      </c>
      <c r="DW143" s="82" t="str">
        <f t="shared" si="25"/>
        <v/>
      </c>
    </row>
    <row r="144" ht="15.75" customHeight="1">
      <c r="A144" s="85"/>
      <c r="B144" s="107"/>
      <c r="C144" s="98"/>
      <c r="D144" s="98"/>
      <c r="E144" s="99"/>
      <c r="F144" s="98"/>
      <c r="G144" s="98"/>
      <c r="H144" s="98"/>
      <c r="I144" s="99"/>
      <c r="J144" s="98"/>
      <c r="K144" s="98"/>
      <c r="L144" s="98"/>
      <c r="M144" s="99"/>
      <c r="N144" s="98"/>
      <c r="O144" s="98"/>
      <c r="P144" s="98"/>
      <c r="Q144" s="99"/>
      <c r="R144" s="98"/>
      <c r="S144" s="98"/>
      <c r="T144" s="98"/>
      <c r="U144" s="99"/>
      <c r="V144" s="98"/>
      <c r="W144" s="98"/>
      <c r="X144" s="98"/>
      <c r="Y144" s="100"/>
      <c r="Z144" s="98"/>
      <c r="AA144" s="98"/>
      <c r="AB144" s="98"/>
      <c r="AC144" s="99"/>
      <c r="AD144" s="98"/>
      <c r="AE144" s="98"/>
      <c r="AF144" s="98"/>
      <c r="AG144" s="99"/>
      <c r="AH144" s="98"/>
      <c r="AI144" s="98"/>
      <c r="AJ144" s="98"/>
      <c r="AK144" s="99"/>
      <c r="AL144" s="98"/>
      <c r="AM144" s="98"/>
      <c r="AN144" s="98"/>
      <c r="AO144" s="98"/>
      <c r="AP144" s="84" t="str">
        <f t="shared" si="2"/>
        <v/>
      </c>
      <c r="AQ144" s="9"/>
      <c r="AR144" s="9"/>
      <c r="AS144" s="8"/>
      <c r="AT144" s="9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8"/>
      <c r="BX144" s="9"/>
      <c r="BY144" s="9"/>
      <c r="BZ144" s="9"/>
      <c r="CA144" s="33"/>
      <c r="CB144" s="85" t="str">
        <f t="shared" si="3"/>
        <v/>
      </c>
      <c r="CC144" s="86" t="str">
        <f t="shared" si="4"/>
        <v/>
      </c>
      <c r="CD144" s="86" t="str">
        <f t="shared" si="5"/>
        <v/>
      </c>
      <c r="CE144" s="86" t="str">
        <f t="shared" si="6"/>
        <v/>
      </c>
      <c r="CF144" s="86" t="str">
        <f t="shared" si="7"/>
        <v/>
      </c>
      <c r="CG144" s="86" t="str">
        <f t="shared" si="8"/>
        <v/>
      </c>
      <c r="CH144" s="86" t="str">
        <f t="shared" si="9"/>
        <v/>
      </c>
      <c r="CI144" s="86" t="str">
        <f t="shared" si="10"/>
        <v/>
      </c>
      <c r="CJ144" s="86" t="str">
        <f t="shared" si="11"/>
        <v/>
      </c>
      <c r="CK144" s="86" t="str">
        <f t="shared" si="12"/>
        <v/>
      </c>
      <c r="CL144" s="86" t="str">
        <f t="shared" si="13"/>
        <v/>
      </c>
      <c r="CM144" s="87" t="str">
        <f t="shared" si="14"/>
        <v/>
      </c>
      <c r="CN144" s="88" t="str">
        <f t="shared" si="26"/>
        <v/>
      </c>
      <c r="CO144" s="88" t="str">
        <f t="shared" si="15"/>
        <v/>
      </c>
      <c r="CP144" s="88" t="str">
        <f t="shared" si="16"/>
        <v/>
      </c>
      <c r="CQ144" s="88" t="str">
        <f t="shared" si="17"/>
        <v/>
      </c>
      <c r="CR144" s="88" t="str">
        <f t="shared" si="18"/>
        <v/>
      </c>
      <c r="CS144" s="88" t="str">
        <f t="shared" si="19"/>
        <v/>
      </c>
      <c r="CT144" s="88" t="str">
        <f t="shared" si="20"/>
        <v/>
      </c>
      <c r="CU144" s="88" t="str">
        <f t="shared" si="21"/>
        <v/>
      </c>
      <c r="CV144" s="88" t="str">
        <f t="shared" si="22"/>
        <v/>
      </c>
      <c r="CW144" s="88" t="str">
        <f t="shared" si="23"/>
        <v/>
      </c>
      <c r="CX144" s="7"/>
      <c r="CY144" s="7"/>
      <c r="CZ144" s="7"/>
      <c r="DA144" s="8"/>
      <c r="DU144" s="104" t="str">
        <f t="shared" si="24"/>
        <v/>
      </c>
      <c r="DV144" s="104" t="str">
        <f>ABA!$A144</f>
        <v/>
      </c>
      <c r="DW144" s="98" t="str">
        <f t="shared" si="25"/>
        <v/>
      </c>
    </row>
    <row r="145" ht="15.75" customHeight="1">
      <c r="A145" s="78"/>
      <c r="B145" s="105"/>
      <c r="C145" s="82"/>
      <c r="D145" s="82"/>
      <c r="E145" s="83"/>
      <c r="F145" s="82"/>
      <c r="G145" s="82"/>
      <c r="H145" s="82"/>
      <c r="I145" s="83"/>
      <c r="J145" s="82"/>
      <c r="K145" s="82"/>
      <c r="L145" s="82"/>
      <c r="M145" s="83"/>
      <c r="N145" s="82"/>
      <c r="O145" s="82"/>
      <c r="P145" s="82"/>
      <c r="Q145" s="83"/>
      <c r="R145" s="82"/>
      <c r="S145" s="82"/>
      <c r="T145" s="82"/>
      <c r="U145" s="83"/>
      <c r="V145" s="82"/>
      <c r="W145" s="82"/>
      <c r="X145" s="82"/>
      <c r="Y145" s="83"/>
      <c r="Z145" s="82"/>
      <c r="AA145" s="82"/>
      <c r="AB145" s="82"/>
      <c r="AC145" s="83"/>
      <c r="AD145" s="82"/>
      <c r="AE145" s="82"/>
      <c r="AF145" s="82"/>
      <c r="AG145" s="83"/>
      <c r="AH145" s="82"/>
      <c r="AI145" s="82"/>
      <c r="AJ145" s="82"/>
      <c r="AK145" s="83"/>
      <c r="AL145" s="82"/>
      <c r="AM145" s="82"/>
      <c r="AN145" s="82"/>
      <c r="AO145" s="82"/>
      <c r="AP145" s="84" t="str">
        <f t="shared" si="2"/>
        <v/>
      </c>
      <c r="AQ145" s="9"/>
      <c r="AR145" s="9"/>
      <c r="AS145" s="8"/>
      <c r="AT145" s="9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8"/>
      <c r="BX145" s="9"/>
      <c r="BY145" s="9"/>
      <c r="BZ145" s="9"/>
      <c r="CA145" s="33"/>
      <c r="CB145" s="85" t="str">
        <f t="shared" si="3"/>
        <v/>
      </c>
      <c r="CC145" s="86" t="str">
        <f t="shared" si="4"/>
        <v/>
      </c>
      <c r="CD145" s="86" t="str">
        <f t="shared" si="5"/>
        <v/>
      </c>
      <c r="CE145" s="86" t="str">
        <f t="shared" si="6"/>
        <v/>
      </c>
      <c r="CF145" s="86" t="str">
        <f t="shared" si="7"/>
        <v/>
      </c>
      <c r="CG145" s="86" t="str">
        <f t="shared" si="8"/>
        <v/>
      </c>
      <c r="CH145" s="86" t="str">
        <f t="shared" si="9"/>
        <v/>
      </c>
      <c r="CI145" s="86" t="str">
        <f t="shared" si="10"/>
        <v/>
      </c>
      <c r="CJ145" s="86" t="str">
        <f t="shared" si="11"/>
        <v/>
      </c>
      <c r="CK145" s="86" t="str">
        <f t="shared" si="12"/>
        <v/>
      </c>
      <c r="CL145" s="86" t="str">
        <f t="shared" si="13"/>
        <v/>
      </c>
      <c r="CM145" s="87" t="str">
        <f t="shared" si="14"/>
        <v/>
      </c>
      <c r="CN145" s="88" t="str">
        <f t="shared" si="26"/>
        <v/>
      </c>
      <c r="CO145" s="88" t="str">
        <f t="shared" si="15"/>
        <v/>
      </c>
      <c r="CP145" s="88" t="str">
        <f t="shared" si="16"/>
        <v/>
      </c>
      <c r="CQ145" s="88" t="str">
        <f t="shared" si="17"/>
        <v/>
      </c>
      <c r="CR145" s="88" t="str">
        <f t="shared" si="18"/>
        <v/>
      </c>
      <c r="CS145" s="88" t="str">
        <f t="shared" si="19"/>
        <v/>
      </c>
      <c r="CT145" s="88" t="str">
        <f t="shared" si="20"/>
        <v/>
      </c>
      <c r="CU145" s="88" t="str">
        <f t="shared" si="21"/>
        <v/>
      </c>
      <c r="CV145" s="88" t="str">
        <f t="shared" si="22"/>
        <v/>
      </c>
      <c r="CW145" s="88" t="str">
        <f t="shared" si="23"/>
        <v/>
      </c>
      <c r="CX145" s="7"/>
      <c r="CY145" s="7"/>
      <c r="CZ145" s="7"/>
      <c r="DA145" s="8"/>
      <c r="DU145" s="93" t="str">
        <f t="shared" si="24"/>
        <v/>
      </c>
      <c r="DV145" s="93" t="str">
        <f>ABA!$A145</f>
        <v/>
      </c>
      <c r="DW145" s="82" t="str">
        <f t="shared" si="25"/>
        <v/>
      </c>
    </row>
    <row r="146" ht="15.75" customHeight="1">
      <c r="A146" s="85"/>
      <c r="B146" s="107"/>
      <c r="C146" s="98"/>
      <c r="D146" s="98"/>
      <c r="E146" s="99"/>
      <c r="F146" s="98"/>
      <c r="G146" s="98"/>
      <c r="H146" s="98"/>
      <c r="I146" s="99"/>
      <c r="J146" s="98"/>
      <c r="K146" s="98"/>
      <c r="L146" s="98"/>
      <c r="M146" s="99"/>
      <c r="N146" s="98"/>
      <c r="O146" s="98"/>
      <c r="P146" s="98"/>
      <c r="Q146" s="99"/>
      <c r="R146" s="98"/>
      <c r="S146" s="98"/>
      <c r="T146" s="98"/>
      <c r="U146" s="99"/>
      <c r="V146" s="98"/>
      <c r="W146" s="98"/>
      <c r="X146" s="98"/>
      <c r="Y146" s="100"/>
      <c r="Z146" s="98"/>
      <c r="AA146" s="98"/>
      <c r="AB146" s="98"/>
      <c r="AC146" s="99"/>
      <c r="AD146" s="98"/>
      <c r="AE146" s="98"/>
      <c r="AF146" s="98"/>
      <c r="AG146" s="99"/>
      <c r="AH146" s="98"/>
      <c r="AI146" s="98"/>
      <c r="AJ146" s="98"/>
      <c r="AK146" s="99"/>
      <c r="AL146" s="98"/>
      <c r="AM146" s="98"/>
      <c r="AN146" s="98"/>
      <c r="AO146" s="98"/>
      <c r="AP146" s="84" t="str">
        <f t="shared" si="2"/>
        <v/>
      </c>
      <c r="AQ146" s="9"/>
      <c r="AR146" s="9"/>
      <c r="AS146" s="8"/>
      <c r="AT146" s="9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8"/>
      <c r="BX146" s="9"/>
      <c r="BY146" s="9"/>
      <c r="BZ146" s="9"/>
      <c r="CA146" s="33"/>
      <c r="CB146" s="85" t="str">
        <f t="shared" si="3"/>
        <v/>
      </c>
      <c r="CC146" s="86" t="str">
        <f t="shared" si="4"/>
        <v/>
      </c>
      <c r="CD146" s="86" t="str">
        <f t="shared" si="5"/>
        <v/>
      </c>
      <c r="CE146" s="86" t="str">
        <f t="shared" si="6"/>
        <v/>
      </c>
      <c r="CF146" s="86" t="str">
        <f t="shared" si="7"/>
        <v/>
      </c>
      <c r="CG146" s="86" t="str">
        <f t="shared" si="8"/>
        <v/>
      </c>
      <c r="CH146" s="86" t="str">
        <f t="shared" si="9"/>
        <v/>
      </c>
      <c r="CI146" s="86" t="str">
        <f t="shared" si="10"/>
        <v/>
      </c>
      <c r="CJ146" s="86" t="str">
        <f t="shared" si="11"/>
        <v/>
      </c>
      <c r="CK146" s="86" t="str">
        <f t="shared" si="12"/>
        <v/>
      </c>
      <c r="CL146" s="86" t="str">
        <f t="shared" si="13"/>
        <v/>
      </c>
      <c r="CM146" s="87" t="str">
        <f t="shared" si="14"/>
        <v/>
      </c>
      <c r="CN146" s="88" t="str">
        <f t="shared" si="26"/>
        <v/>
      </c>
      <c r="CO146" s="88" t="str">
        <f t="shared" si="15"/>
        <v/>
      </c>
      <c r="CP146" s="88" t="str">
        <f t="shared" si="16"/>
        <v/>
      </c>
      <c r="CQ146" s="88" t="str">
        <f t="shared" si="17"/>
        <v/>
      </c>
      <c r="CR146" s="88" t="str">
        <f t="shared" si="18"/>
        <v/>
      </c>
      <c r="CS146" s="88" t="str">
        <f t="shared" si="19"/>
        <v/>
      </c>
      <c r="CT146" s="88" t="str">
        <f t="shared" si="20"/>
        <v/>
      </c>
      <c r="CU146" s="88" t="str">
        <f t="shared" si="21"/>
        <v/>
      </c>
      <c r="CV146" s="88" t="str">
        <f t="shared" si="22"/>
        <v/>
      </c>
      <c r="CW146" s="88" t="str">
        <f t="shared" si="23"/>
        <v/>
      </c>
      <c r="CX146" s="7"/>
      <c r="CY146" s="7"/>
      <c r="CZ146" s="7"/>
      <c r="DA146" s="8"/>
      <c r="DU146" s="104" t="str">
        <f t="shared" si="24"/>
        <v/>
      </c>
      <c r="DV146" s="104" t="str">
        <f>ABA!$A146</f>
        <v/>
      </c>
      <c r="DW146" s="98" t="str">
        <f t="shared" si="25"/>
        <v/>
      </c>
    </row>
    <row r="147" ht="15.75" customHeight="1">
      <c r="A147" s="78"/>
      <c r="B147" s="105"/>
      <c r="C147" s="82"/>
      <c r="D147" s="82"/>
      <c r="E147" s="83"/>
      <c r="F147" s="82"/>
      <c r="G147" s="82"/>
      <c r="H147" s="82"/>
      <c r="I147" s="83"/>
      <c r="J147" s="82"/>
      <c r="K147" s="82"/>
      <c r="L147" s="82"/>
      <c r="M147" s="83"/>
      <c r="N147" s="82"/>
      <c r="O147" s="82"/>
      <c r="P147" s="82"/>
      <c r="Q147" s="83"/>
      <c r="R147" s="82"/>
      <c r="S147" s="82"/>
      <c r="T147" s="82"/>
      <c r="U147" s="83"/>
      <c r="V147" s="82"/>
      <c r="W147" s="82"/>
      <c r="X147" s="82"/>
      <c r="Y147" s="83"/>
      <c r="Z147" s="82"/>
      <c r="AA147" s="82"/>
      <c r="AB147" s="82"/>
      <c r="AC147" s="83"/>
      <c r="AD147" s="82"/>
      <c r="AE147" s="82"/>
      <c r="AF147" s="82"/>
      <c r="AG147" s="83"/>
      <c r="AH147" s="82"/>
      <c r="AI147" s="82"/>
      <c r="AJ147" s="82"/>
      <c r="AK147" s="83"/>
      <c r="AL147" s="82"/>
      <c r="AM147" s="82"/>
      <c r="AN147" s="82"/>
      <c r="AO147" s="82"/>
      <c r="AP147" s="84" t="str">
        <f t="shared" si="2"/>
        <v/>
      </c>
      <c r="AQ147" s="9"/>
      <c r="AR147" s="9"/>
      <c r="AS147" s="8"/>
      <c r="AT147" s="9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8"/>
      <c r="BX147" s="9"/>
      <c r="BY147" s="9"/>
      <c r="BZ147" s="9"/>
      <c r="CA147" s="33"/>
      <c r="CB147" s="85" t="str">
        <f t="shared" si="3"/>
        <v/>
      </c>
      <c r="CC147" s="86" t="str">
        <f t="shared" si="4"/>
        <v/>
      </c>
      <c r="CD147" s="86" t="str">
        <f t="shared" si="5"/>
        <v/>
      </c>
      <c r="CE147" s="86" t="str">
        <f t="shared" si="6"/>
        <v/>
      </c>
      <c r="CF147" s="86" t="str">
        <f t="shared" si="7"/>
        <v/>
      </c>
      <c r="CG147" s="86" t="str">
        <f t="shared" si="8"/>
        <v/>
      </c>
      <c r="CH147" s="86" t="str">
        <f t="shared" si="9"/>
        <v/>
      </c>
      <c r="CI147" s="86" t="str">
        <f t="shared" si="10"/>
        <v/>
      </c>
      <c r="CJ147" s="86" t="str">
        <f t="shared" si="11"/>
        <v/>
      </c>
      <c r="CK147" s="86" t="str">
        <f t="shared" si="12"/>
        <v/>
      </c>
      <c r="CL147" s="86" t="str">
        <f t="shared" si="13"/>
        <v/>
      </c>
      <c r="CM147" s="87" t="str">
        <f t="shared" si="14"/>
        <v/>
      </c>
      <c r="CN147" s="88" t="str">
        <f t="shared" si="26"/>
        <v/>
      </c>
      <c r="CO147" s="88" t="str">
        <f t="shared" si="15"/>
        <v/>
      </c>
      <c r="CP147" s="88" t="str">
        <f t="shared" si="16"/>
        <v/>
      </c>
      <c r="CQ147" s="88" t="str">
        <f t="shared" si="17"/>
        <v/>
      </c>
      <c r="CR147" s="88" t="str">
        <f t="shared" si="18"/>
        <v/>
      </c>
      <c r="CS147" s="88" t="str">
        <f t="shared" si="19"/>
        <v/>
      </c>
      <c r="CT147" s="88" t="str">
        <f t="shared" si="20"/>
        <v/>
      </c>
      <c r="CU147" s="88" t="str">
        <f t="shared" si="21"/>
        <v/>
      </c>
      <c r="CV147" s="88" t="str">
        <f t="shared" si="22"/>
        <v/>
      </c>
      <c r="CW147" s="88" t="str">
        <f t="shared" si="23"/>
        <v/>
      </c>
      <c r="CX147" s="7"/>
      <c r="CY147" s="7"/>
      <c r="CZ147" s="7"/>
      <c r="DA147" s="8"/>
      <c r="DU147" s="93" t="str">
        <f t="shared" si="24"/>
        <v/>
      </c>
      <c r="DV147" s="93" t="str">
        <f>ABA!$A147</f>
        <v/>
      </c>
      <c r="DW147" s="82" t="str">
        <f t="shared" si="25"/>
        <v/>
      </c>
    </row>
    <row r="148" ht="15.75" customHeight="1">
      <c r="A148" s="85"/>
      <c r="B148" s="107"/>
      <c r="C148" s="98"/>
      <c r="D148" s="98"/>
      <c r="E148" s="99"/>
      <c r="F148" s="98"/>
      <c r="G148" s="98"/>
      <c r="H148" s="98"/>
      <c r="I148" s="99"/>
      <c r="J148" s="98"/>
      <c r="K148" s="98"/>
      <c r="L148" s="98"/>
      <c r="M148" s="99"/>
      <c r="N148" s="98"/>
      <c r="O148" s="98"/>
      <c r="P148" s="98"/>
      <c r="Q148" s="99"/>
      <c r="R148" s="98"/>
      <c r="S148" s="98"/>
      <c r="T148" s="98"/>
      <c r="U148" s="99"/>
      <c r="V148" s="98"/>
      <c r="W148" s="98"/>
      <c r="X148" s="98"/>
      <c r="Y148" s="100"/>
      <c r="Z148" s="98"/>
      <c r="AA148" s="98"/>
      <c r="AB148" s="98"/>
      <c r="AC148" s="99"/>
      <c r="AD148" s="98"/>
      <c r="AE148" s="98"/>
      <c r="AF148" s="98"/>
      <c r="AG148" s="99"/>
      <c r="AH148" s="98"/>
      <c r="AI148" s="98"/>
      <c r="AJ148" s="98"/>
      <c r="AK148" s="99"/>
      <c r="AL148" s="98"/>
      <c r="AM148" s="98"/>
      <c r="AN148" s="98"/>
      <c r="AO148" s="98"/>
      <c r="AP148" s="84" t="str">
        <f t="shared" si="2"/>
        <v/>
      </c>
      <c r="AQ148" s="9"/>
      <c r="AR148" s="9"/>
      <c r="AS148" s="8"/>
      <c r="AT148" s="9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8"/>
      <c r="BX148" s="9"/>
      <c r="BY148" s="9"/>
      <c r="BZ148" s="9"/>
      <c r="CA148" s="33"/>
      <c r="CB148" s="85" t="str">
        <f t="shared" si="3"/>
        <v/>
      </c>
      <c r="CC148" s="86" t="str">
        <f t="shared" si="4"/>
        <v/>
      </c>
      <c r="CD148" s="86" t="str">
        <f t="shared" si="5"/>
        <v/>
      </c>
      <c r="CE148" s="86" t="str">
        <f t="shared" si="6"/>
        <v/>
      </c>
      <c r="CF148" s="86" t="str">
        <f t="shared" si="7"/>
        <v/>
      </c>
      <c r="CG148" s="86" t="str">
        <f t="shared" si="8"/>
        <v/>
      </c>
      <c r="CH148" s="86" t="str">
        <f t="shared" si="9"/>
        <v/>
      </c>
      <c r="CI148" s="86" t="str">
        <f t="shared" si="10"/>
        <v/>
      </c>
      <c r="CJ148" s="86" t="str">
        <f t="shared" si="11"/>
        <v/>
      </c>
      <c r="CK148" s="86" t="str">
        <f t="shared" si="12"/>
        <v/>
      </c>
      <c r="CL148" s="86" t="str">
        <f t="shared" si="13"/>
        <v/>
      </c>
      <c r="CM148" s="87" t="str">
        <f t="shared" si="14"/>
        <v/>
      </c>
      <c r="CN148" s="88" t="str">
        <f t="shared" si="26"/>
        <v/>
      </c>
      <c r="CO148" s="88" t="str">
        <f t="shared" si="15"/>
        <v/>
      </c>
      <c r="CP148" s="88" t="str">
        <f t="shared" si="16"/>
        <v/>
      </c>
      <c r="CQ148" s="88" t="str">
        <f t="shared" si="17"/>
        <v/>
      </c>
      <c r="CR148" s="88" t="str">
        <f t="shared" si="18"/>
        <v/>
      </c>
      <c r="CS148" s="88" t="str">
        <f t="shared" si="19"/>
        <v/>
      </c>
      <c r="CT148" s="88" t="str">
        <f t="shared" si="20"/>
        <v/>
      </c>
      <c r="CU148" s="88" t="str">
        <f t="shared" si="21"/>
        <v/>
      </c>
      <c r="CV148" s="88" t="str">
        <f t="shared" si="22"/>
        <v/>
      </c>
      <c r="CW148" s="88" t="str">
        <f t="shared" si="23"/>
        <v/>
      </c>
      <c r="CX148" s="7"/>
      <c r="CY148" s="7"/>
      <c r="CZ148" s="7"/>
      <c r="DA148" s="8"/>
      <c r="DU148" s="93" t="str">
        <f t="shared" si="24"/>
        <v/>
      </c>
      <c r="DV148" s="104" t="str">
        <f>ABA!$A148</f>
        <v/>
      </c>
      <c r="DW148" s="98" t="str">
        <f t="shared" si="25"/>
        <v/>
      </c>
    </row>
    <row r="149" ht="15.75" customHeight="1">
      <c r="A149" s="78"/>
      <c r="B149" s="105"/>
      <c r="C149" s="82"/>
      <c r="D149" s="82"/>
      <c r="E149" s="83"/>
      <c r="F149" s="82"/>
      <c r="G149" s="82"/>
      <c r="H149" s="82"/>
      <c r="I149" s="83"/>
      <c r="J149" s="82"/>
      <c r="K149" s="82"/>
      <c r="L149" s="82"/>
      <c r="M149" s="83"/>
      <c r="N149" s="82"/>
      <c r="O149" s="82"/>
      <c r="P149" s="82"/>
      <c r="Q149" s="83"/>
      <c r="R149" s="82"/>
      <c r="S149" s="82"/>
      <c r="T149" s="82"/>
      <c r="U149" s="83"/>
      <c r="V149" s="82"/>
      <c r="W149" s="82"/>
      <c r="X149" s="82"/>
      <c r="Y149" s="83"/>
      <c r="Z149" s="82"/>
      <c r="AA149" s="82"/>
      <c r="AB149" s="82"/>
      <c r="AC149" s="83"/>
      <c r="AD149" s="82"/>
      <c r="AE149" s="82"/>
      <c r="AF149" s="82"/>
      <c r="AG149" s="83"/>
      <c r="AH149" s="82"/>
      <c r="AI149" s="82"/>
      <c r="AJ149" s="82"/>
      <c r="AK149" s="83"/>
      <c r="AL149" s="82"/>
      <c r="AM149" s="82"/>
      <c r="AN149" s="82"/>
      <c r="AO149" s="82"/>
      <c r="AP149" s="84" t="str">
        <f t="shared" si="2"/>
        <v/>
      </c>
      <c r="AQ149" s="9"/>
      <c r="AR149" s="9"/>
      <c r="AS149" s="8"/>
      <c r="AT149" s="9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8"/>
      <c r="BX149" s="9"/>
      <c r="BY149" s="9"/>
      <c r="BZ149" s="9"/>
      <c r="CA149" s="33"/>
      <c r="CB149" s="85" t="str">
        <f t="shared" si="3"/>
        <v/>
      </c>
      <c r="CC149" s="86" t="str">
        <f t="shared" si="4"/>
        <v/>
      </c>
      <c r="CD149" s="86" t="str">
        <f t="shared" si="5"/>
        <v/>
      </c>
      <c r="CE149" s="86" t="str">
        <f t="shared" si="6"/>
        <v/>
      </c>
      <c r="CF149" s="86" t="str">
        <f t="shared" si="7"/>
        <v/>
      </c>
      <c r="CG149" s="86" t="str">
        <f t="shared" si="8"/>
        <v/>
      </c>
      <c r="CH149" s="86" t="str">
        <f t="shared" si="9"/>
        <v/>
      </c>
      <c r="CI149" s="86" t="str">
        <f t="shared" si="10"/>
        <v/>
      </c>
      <c r="CJ149" s="86" t="str">
        <f t="shared" si="11"/>
        <v/>
      </c>
      <c r="CK149" s="86" t="str">
        <f t="shared" si="12"/>
        <v/>
      </c>
      <c r="CL149" s="86" t="str">
        <f t="shared" si="13"/>
        <v/>
      </c>
      <c r="CM149" s="87" t="str">
        <f t="shared" si="14"/>
        <v/>
      </c>
      <c r="CN149" s="88" t="str">
        <f t="shared" si="26"/>
        <v/>
      </c>
      <c r="CO149" s="88" t="str">
        <f t="shared" si="15"/>
        <v/>
      </c>
      <c r="CP149" s="88" t="str">
        <f t="shared" si="16"/>
        <v/>
      </c>
      <c r="CQ149" s="88" t="str">
        <f t="shared" si="17"/>
        <v/>
      </c>
      <c r="CR149" s="88" t="str">
        <f t="shared" si="18"/>
        <v/>
      </c>
      <c r="CS149" s="88" t="str">
        <f t="shared" si="19"/>
        <v/>
      </c>
      <c r="CT149" s="88" t="str">
        <f t="shared" si="20"/>
        <v/>
      </c>
      <c r="CU149" s="88" t="str">
        <f t="shared" si="21"/>
        <v/>
      </c>
      <c r="CV149" s="88" t="str">
        <f t="shared" si="22"/>
        <v/>
      </c>
      <c r="CW149" s="88" t="str">
        <f t="shared" si="23"/>
        <v/>
      </c>
      <c r="CX149" s="7"/>
      <c r="CY149" s="7"/>
      <c r="CZ149" s="7"/>
      <c r="DA149" s="8"/>
      <c r="DU149" s="104" t="str">
        <f t="shared" si="24"/>
        <v/>
      </c>
      <c r="DV149" s="93" t="str">
        <f>ABA!$A149</f>
        <v/>
      </c>
      <c r="DW149" s="82" t="str">
        <f t="shared" si="25"/>
        <v/>
      </c>
    </row>
    <row r="150" ht="15.75" customHeight="1">
      <c r="A150" s="85"/>
      <c r="B150" s="107"/>
      <c r="C150" s="98"/>
      <c r="D150" s="98"/>
      <c r="E150" s="99"/>
      <c r="F150" s="98"/>
      <c r="G150" s="98"/>
      <c r="H150" s="98"/>
      <c r="I150" s="99"/>
      <c r="J150" s="98"/>
      <c r="K150" s="98"/>
      <c r="L150" s="98"/>
      <c r="M150" s="99"/>
      <c r="N150" s="98"/>
      <c r="O150" s="98"/>
      <c r="P150" s="98"/>
      <c r="Q150" s="99"/>
      <c r="R150" s="98"/>
      <c r="S150" s="98"/>
      <c r="T150" s="98"/>
      <c r="U150" s="99"/>
      <c r="V150" s="98"/>
      <c r="W150" s="98"/>
      <c r="X150" s="98"/>
      <c r="Y150" s="100"/>
      <c r="Z150" s="98"/>
      <c r="AA150" s="98"/>
      <c r="AB150" s="98"/>
      <c r="AC150" s="99"/>
      <c r="AD150" s="98"/>
      <c r="AE150" s="98"/>
      <c r="AF150" s="98"/>
      <c r="AG150" s="99"/>
      <c r="AH150" s="98"/>
      <c r="AI150" s="98"/>
      <c r="AJ150" s="98"/>
      <c r="AK150" s="99"/>
      <c r="AL150" s="98"/>
      <c r="AM150" s="98"/>
      <c r="AN150" s="98"/>
      <c r="AO150" s="98"/>
      <c r="AP150" s="84" t="str">
        <f t="shared" si="2"/>
        <v/>
      </c>
      <c r="AQ150" s="9"/>
      <c r="AR150" s="9"/>
      <c r="AS150" s="8"/>
      <c r="AT150" s="9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8"/>
      <c r="BX150" s="9"/>
      <c r="BY150" s="9"/>
      <c r="BZ150" s="9"/>
      <c r="CA150" s="33"/>
      <c r="CB150" s="85" t="str">
        <f t="shared" si="3"/>
        <v/>
      </c>
      <c r="CC150" s="86" t="str">
        <f t="shared" si="4"/>
        <v/>
      </c>
      <c r="CD150" s="86" t="str">
        <f t="shared" si="5"/>
        <v/>
      </c>
      <c r="CE150" s="86" t="str">
        <f t="shared" si="6"/>
        <v/>
      </c>
      <c r="CF150" s="86" t="str">
        <f t="shared" si="7"/>
        <v/>
      </c>
      <c r="CG150" s="86" t="str">
        <f t="shared" si="8"/>
        <v/>
      </c>
      <c r="CH150" s="86" t="str">
        <f t="shared" si="9"/>
        <v/>
      </c>
      <c r="CI150" s="86" t="str">
        <f t="shared" si="10"/>
        <v/>
      </c>
      <c r="CJ150" s="86" t="str">
        <f t="shared" si="11"/>
        <v/>
      </c>
      <c r="CK150" s="86" t="str">
        <f t="shared" si="12"/>
        <v/>
      </c>
      <c r="CL150" s="86" t="str">
        <f t="shared" si="13"/>
        <v/>
      </c>
      <c r="CM150" s="87" t="str">
        <f t="shared" si="14"/>
        <v/>
      </c>
      <c r="CN150" s="88" t="str">
        <f t="shared" si="26"/>
        <v/>
      </c>
      <c r="CO150" s="88" t="str">
        <f t="shared" si="15"/>
        <v/>
      </c>
      <c r="CP150" s="88" t="str">
        <f t="shared" si="16"/>
        <v/>
      </c>
      <c r="CQ150" s="88" t="str">
        <f t="shared" si="17"/>
        <v/>
      </c>
      <c r="CR150" s="88" t="str">
        <f t="shared" si="18"/>
        <v/>
      </c>
      <c r="CS150" s="88" t="str">
        <f t="shared" si="19"/>
        <v/>
      </c>
      <c r="CT150" s="88" t="str">
        <f t="shared" si="20"/>
        <v/>
      </c>
      <c r="CU150" s="88" t="str">
        <f t="shared" si="21"/>
        <v/>
      </c>
      <c r="CV150" s="88" t="str">
        <f t="shared" si="22"/>
        <v/>
      </c>
      <c r="CW150" s="88" t="str">
        <f t="shared" si="23"/>
        <v/>
      </c>
      <c r="CX150" s="7"/>
      <c r="CY150" s="7"/>
      <c r="CZ150" s="7"/>
      <c r="DA150" s="8"/>
      <c r="DU150" s="93" t="str">
        <f t="shared" si="24"/>
        <v/>
      </c>
      <c r="DV150" s="104" t="str">
        <f>ABA!$A150</f>
        <v/>
      </c>
      <c r="DW150" s="98" t="str">
        <f t="shared" si="25"/>
        <v/>
      </c>
    </row>
    <row r="151" ht="15.75" customHeight="1">
      <c r="A151" s="78"/>
      <c r="B151" s="105"/>
      <c r="C151" s="82"/>
      <c r="D151" s="82"/>
      <c r="E151" s="83"/>
      <c r="F151" s="82"/>
      <c r="G151" s="82"/>
      <c r="H151" s="82"/>
      <c r="I151" s="83"/>
      <c r="J151" s="82"/>
      <c r="K151" s="82"/>
      <c r="L151" s="82"/>
      <c r="M151" s="83"/>
      <c r="N151" s="82"/>
      <c r="O151" s="82"/>
      <c r="P151" s="82"/>
      <c r="Q151" s="83"/>
      <c r="R151" s="82"/>
      <c r="S151" s="82"/>
      <c r="T151" s="82"/>
      <c r="U151" s="83"/>
      <c r="V151" s="82"/>
      <c r="W151" s="82"/>
      <c r="X151" s="82"/>
      <c r="Y151" s="83"/>
      <c r="Z151" s="82"/>
      <c r="AA151" s="82"/>
      <c r="AB151" s="82"/>
      <c r="AC151" s="83"/>
      <c r="AD151" s="82"/>
      <c r="AE151" s="82"/>
      <c r="AF151" s="82"/>
      <c r="AG151" s="83"/>
      <c r="AH151" s="82"/>
      <c r="AI151" s="82"/>
      <c r="AJ151" s="82"/>
      <c r="AK151" s="83"/>
      <c r="AL151" s="82"/>
      <c r="AM151" s="82"/>
      <c r="AN151" s="82"/>
      <c r="AO151" s="82"/>
      <c r="AP151" s="84" t="str">
        <f t="shared" si="2"/>
        <v/>
      </c>
      <c r="AQ151" s="9"/>
      <c r="AR151" s="9"/>
      <c r="AS151" s="8"/>
      <c r="AT151" s="9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8"/>
      <c r="BX151" s="9"/>
      <c r="BY151" s="9"/>
      <c r="BZ151" s="9"/>
      <c r="CA151" s="33"/>
      <c r="CB151" s="85" t="str">
        <f t="shared" si="3"/>
        <v/>
      </c>
      <c r="CC151" s="86" t="str">
        <f t="shared" si="4"/>
        <v/>
      </c>
      <c r="CD151" s="86" t="str">
        <f t="shared" si="5"/>
        <v/>
      </c>
      <c r="CE151" s="86" t="str">
        <f t="shared" si="6"/>
        <v/>
      </c>
      <c r="CF151" s="86" t="str">
        <f t="shared" si="7"/>
        <v/>
      </c>
      <c r="CG151" s="86" t="str">
        <f t="shared" si="8"/>
        <v/>
      </c>
      <c r="CH151" s="86" t="str">
        <f t="shared" si="9"/>
        <v/>
      </c>
      <c r="CI151" s="86" t="str">
        <f t="shared" si="10"/>
        <v/>
      </c>
      <c r="CJ151" s="86" t="str">
        <f t="shared" si="11"/>
        <v/>
      </c>
      <c r="CK151" s="86" t="str">
        <f t="shared" si="12"/>
        <v/>
      </c>
      <c r="CL151" s="86" t="str">
        <f t="shared" si="13"/>
        <v/>
      </c>
      <c r="CM151" s="87" t="str">
        <f t="shared" si="14"/>
        <v/>
      </c>
      <c r="CN151" s="88" t="str">
        <f t="shared" si="26"/>
        <v/>
      </c>
      <c r="CO151" s="88" t="str">
        <f t="shared" si="15"/>
        <v/>
      </c>
      <c r="CP151" s="88" t="str">
        <f t="shared" si="16"/>
        <v/>
      </c>
      <c r="CQ151" s="88" t="str">
        <f t="shared" si="17"/>
        <v/>
      </c>
      <c r="CR151" s="88" t="str">
        <f t="shared" si="18"/>
        <v/>
      </c>
      <c r="CS151" s="88" t="str">
        <f t="shared" si="19"/>
        <v/>
      </c>
      <c r="CT151" s="88" t="str">
        <f t="shared" si="20"/>
        <v/>
      </c>
      <c r="CU151" s="88" t="str">
        <f t="shared" si="21"/>
        <v/>
      </c>
      <c r="CV151" s="88" t="str">
        <f t="shared" si="22"/>
        <v/>
      </c>
      <c r="CW151" s="88" t="str">
        <f t="shared" si="23"/>
        <v/>
      </c>
      <c r="CX151" s="7"/>
      <c r="CY151" s="7"/>
      <c r="CZ151" s="7"/>
      <c r="DA151" s="8"/>
      <c r="DU151" s="104" t="str">
        <f t="shared" si="24"/>
        <v/>
      </c>
      <c r="DV151" s="93" t="str">
        <f>ABA!$A151</f>
        <v/>
      </c>
      <c r="DW151" s="82" t="str">
        <f t="shared" si="25"/>
        <v/>
      </c>
    </row>
    <row r="152" ht="15.75" customHeight="1">
      <c r="A152" s="85"/>
      <c r="B152" s="107"/>
      <c r="C152" s="98"/>
      <c r="D152" s="98"/>
      <c r="E152" s="99"/>
      <c r="F152" s="98"/>
      <c r="G152" s="98"/>
      <c r="H152" s="98"/>
      <c r="I152" s="99"/>
      <c r="J152" s="98"/>
      <c r="K152" s="98"/>
      <c r="L152" s="98"/>
      <c r="M152" s="99"/>
      <c r="N152" s="98"/>
      <c r="O152" s="98"/>
      <c r="P152" s="98"/>
      <c r="Q152" s="99"/>
      <c r="R152" s="98"/>
      <c r="S152" s="98"/>
      <c r="T152" s="98"/>
      <c r="U152" s="99"/>
      <c r="V152" s="98"/>
      <c r="W152" s="98"/>
      <c r="X152" s="98"/>
      <c r="Y152" s="100"/>
      <c r="Z152" s="98"/>
      <c r="AA152" s="98"/>
      <c r="AB152" s="98"/>
      <c r="AC152" s="99"/>
      <c r="AD152" s="98"/>
      <c r="AE152" s="98"/>
      <c r="AF152" s="98"/>
      <c r="AG152" s="99"/>
      <c r="AH152" s="98"/>
      <c r="AI152" s="98"/>
      <c r="AJ152" s="98"/>
      <c r="AK152" s="99"/>
      <c r="AL152" s="98"/>
      <c r="AM152" s="98"/>
      <c r="AN152" s="98"/>
      <c r="AO152" s="98"/>
      <c r="AP152" s="84" t="str">
        <f t="shared" si="2"/>
        <v/>
      </c>
      <c r="AQ152" s="9"/>
      <c r="AR152" s="9"/>
      <c r="AS152" s="8"/>
      <c r="AT152" s="9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8"/>
      <c r="BX152" s="9"/>
      <c r="BY152" s="9"/>
      <c r="BZ152" s="9"/>
      <c r="CA152" s="33"/>
      <c r="CB152" s="85" t="str">
        <f t="shared" si="3"/>
        <v/>
      </c>
      <c r="CC152" s="86" t="str">
        <f t="shared" si="4"/>
        <v/>
      </c>
      <c r="CD152" s="86" t="str">
        <f t="shared" si="5"/>
        <v/>
      </c>
      <c r="CE152" s="86" t="str">
        <f t="shared" si="6"/>
        <v/>
      </c>
      <c r="CF152" s="86" t="str">
        <f t="shared" si="7"/>
        <v/>
      </c>
      <c r="CG152" s="86" t="str">
        <f t="shared" si="8"/>
        <v/>
      </c>
      <c r="CH152" s="86" t="str">
        <f t="shared" si="9"/>
        <v/>
      </c>
      <c r="CI152" s="86" t="str">
        <f t="shared" si="10"/>
        <v/>
      </c>
      <c r="CJ152" s="86" t="str">
        <f t="shared" si="11"/>
        <v/>
      </c>
      <c r="CK152" s="86" t="str">
        <f t="shared" si="12"/>
        <v/>
      </c>
      <c r="CL152" s="86" t="str">
        <f t="shared" si="13"/>
        <v/>
      </c>
      <c r="CM152" s="87" t="str">
        <f t="shared" si="14"/>
        <v/>
      </c>
      <c r="CN152" s="88" t="str">
        <f t="shared" si="26"/>
        <v/>
      </c>
      <c r="CO152" s="88" t="str">
        <f t="shared" si="15"/>
        <v/>
      </c>
      <c r="CP152" s="88" t="str">
        <f t="shared" si="16"/>
        <v/>
      </c>
      <c r="CQ152" s="88" t="str">
        <f t="shared" si="17"/>
        <v/>
      </c>
      <c r="CR152" s="88" t="str">
        <f t="shared" si="18"/>
        <v/>
      </c>
      <c r="CS152" s="88" t="str">
        <f t="shared" si="19"/>
        <v/>
      </c>
      <c r="CT152" s="88" t="str">
        <f t="shared" si="20"/>
        <v/>
      </c>
      <c r="CU152" s="88" t="str">
        <f t="shared" si="21"/>
        <v/>
      </c>
      <c r="CV152" s="88" t="str">
        <f t="shared" si="22"/>
        <v/>
      </c>
      <c r="CW152" s="88" t="str">
        <f t="shared" si="23"/>
        <v/>
      </c>
      <c r="CX152" s="7"/>
      <c r="CY152" s="7"/>
      <c r="CZ152" s="7"/>
      <c r="DA152" s="8"/>
      <c r="DU152" s="93" t="str">
        <f t="shared" si="24"/>
        <v/>
      </c>
      <c r="DV152" s="104" t="str">
        <f>ABA!$A152</f>
        <v/>
      </c>
      <c r="DW152" s="98" t="str">
        <f t="shared" si="25"/>
        <v/>
      </c>
    </row>
    <row r="153" ht="15.75" customHeight="1">
      <c r="A153" s="78"/>
      <c r="B153" s="105"/>
      <c r="C153" s="82"/>
      <c r="D153" s="82"/>
      <c r="E153" s="83"/>
      <c r="F153" s="82"/>
      <c r="G153" s="82"/>
      <c r="H153" s="82"/>
      <c r="I153" s="83"/>
      <c r="J153" s="82"/>
      <c r="K153" s="82"/>
      <c r="L153" s="82"/>
      <c r="M153" s="83"/>
      <c r="N153" s="82"/>
      <c r="O153" s="82"/>
      <c r="P153" s="82"/>
      <c r="Q153" s="83"/>
      <c r="R153" s="82"/>
      <c r="S153" s="82"/>
      <c r="T153" s="82"/>
      <c r="U153" s="83"/>
      <c r="V153" s="82"/>
      <c r="W153" s="82"/>
      <c r="X153" s="82"/>
      <c r="Y153" s="83"/>
      <c r="Z153" s="82"/>
      <c r="AA153" s="82"/>
      <c r="AB153" s="82"/>
      <c r="AC153" s="83"/>
      <c r="AD153" s="82"/>
      <c r="AE153" s="82"/>
      <c r="AF153" s="82"/>
      <c r="AG153" s="83"/>
      <c r="AH153" s="82"/>
      <c r="AI153" s="82"/>
      <c r="AJ153" s="82"/>
      <c r="AK153" s="83"/>
      <c r="AL153" s="82"/>
      <c r="AM153" s="82"/>
      <c r="AN153" s="82"/>
      <c r="AO153" s="82"/>
      <c r="AP153" s="84" t="str">
        <f t="shared" si="2"/>
        <v/>
      </c>
      <c r="AQ153" s="9"/>
      <c r="AR153" s="9"/>
      <c r="AS153" s="8"/>
      <c r="AT153" s="9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8"/>
      <c r="BX153" s="9"/>
      <c r="BY153" s="9"/>
      <c r="BZ153" s="9"/>
      <c r="CA153" s="33"/>
      <c r="CB153" s="85" t="str">
        <f t="shared" si="3"/>
        <v/>
      </c>
      <c r="CC153" s="86" t="str">
        <f t="shared" si="4"/>
        <v/>
      </c>
      <c r="CD153" s="86" t="str">
        <f t="shared" si="5"/>
        <v/>
      </c>
      <c r="CE153" s="86" t="str">
        <f t="shared" si="6"/>
        <v/>
      </c>
      <c r="CF153" s="86" t="str">
        <f t="shared" si="7"/>
        <v/>
      </c>
      <c r="CG153" s="86" t="str">
        <f t="shared" si="8"/>
        <v/>
      </c>
      <c r="CH153" s="86" t="str">
        <f t="shared" si="9"/>
        <v/>
      </c>
      <c r="CI153" s="86" t="str">
        <f t="shared" si="10"/>
        <v/>
      </c>
      <c r="CJ153" s="86" t="str">
        <f t="shared" si="11"/>
        <v/>
      </c>
      <c r="CK153" s="86" t="str">
        <f t="shared" si="12"/>
        <v/>
      </c>
      <c r="CL153" s="86" t="str">
        <f t="shared" si="13"/>
        <v/>
      </c>
      <c r="CM153" s="87" t="str">
        <f t="shared" si="14"/>
        <v/>
      </c>
      <c r="CN153" s="88" t="str">
        <f t="shared" si="26"/>
        <v/>
      </c>
      <c r="CO153" s="88" t="str">
        <f t="shared" si="15"/>
        <v/>
      </c>
      <c r="CP153" s="88" t="str">
        <f t="shared" si="16"/>
        <v/>
      </c>
      <c r="CQ153" s="88" t="str">
        <f t="shared" si="17"/>
        <v/>
      </c>
      <c r="CR153" s="88" t="str">
        <f t="shared" si="18"/>
        <v/>
      </c>
      <c r="CS153" s="88" t="str">
        <f t="shared" si="19"/>
        <v/>
      </c>
      <c r="CT153" s="88" t="str">
        <f t="shared" si="20"/>
        <v/>
      </c>
      <c r="CU153" s="88" t="str">
        <f t="shared" si="21"/>
        <v/>
      </c>
      <c r="CV153" s="88" t="str">
        <f t="shared" si="22"/>
        <v/>
      </c>
      <c r="CW153" s="88" t="str">
        <f t="shared" si="23"/>
        <v/>
      </c>
      <c r="CX153" s="7"/>
      <c r="CY153" s="7"/>
      <c r="CZ153" s="7"/>
      <c r="DA153" s="8"/>
      <c r="DU153" s="104" t="str">
        <f t="shared" si="24"/>
        <v/>
      </c>
      <c r="DV153" s="93" t="str">
        <f>ABA!$A153</f>
        <v/>
      </c>
      <c r="DW153" s="82" t="str">
        <f t="shared" si="25"/>
        <v/>
      </c>
    </row>
    <row r="154" ht="15.75" customHeight="1">
      <c r="A154" s="85"/>
      <c r="B154" s="107"/>
      <c r="C154" s="98"/>
      <c r="D154" s="98"/>
      <c r="E154" s="99"/>
      <c r="F154" s="98"/>
      <c r="G154" s="98"/>
      <c r="H154" s="98"/>
      <c r="I154" s="99"/>
      <c r="J154" s="98"/>
      <c r="K154" s="98"/>
      <c r="L154" s="98"/>
      <c r="M154" s="99"/>
      <c r="N154" s="98"/>
      <c r="O154" s="98"/>
      <c r="P154" s="98"/>
      <c r="Q154" s="99"/>
      <c r="R154" s="98"/>
      <c r="S154" s="98"/>
      <c r="T154" s="98"/>
      <c r="U154" s="99"/>
      <c r="V154" s="98"/>
      <c r="W154" s="98"/>
      <c r="X154" s="98"/>
      <c r="Y154" s="100"/>
      <c r="Z154" s="98"/>
      <c r="AA154" s="98"/>
      <c r="AB154" s="98"/>
      <c r="AC154" s="99"/>
      <c r="AD154" s="98"/>
      <c r="AE154" s="98"/>
      <c r="AF154" s="98"/>
      <c r="AG154" s="99"/>
      <c r="AH154" s="98"/>
      <c r="AI154" s="98"/>
      <c r="AJ154" s="98"/>
      <c r="AK154" s="99"/>
      <c r="AL154" s="98"/>
      <c r="AM154" s="98"/>
      <c r="AN154" s="98"/>
      <c r="AO154" s="98"/>
      <c r="AP154" s="84" t="str">
        <f t="shared" si="2"/>
        <v/>
      </c>
      <c r="AQ154" s="9"/>
      <c r="AR154" s="9"/>
      <c r="AS154" s="8"/>
      <c r="AT154" s="9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8"/>
      <c r="BX154" s="9"/>
      <c r="BY154" s="9"/>
      <c r="BZ154" s="9"/>
      <c r="CA154" s="33"/>
      <c r="CB154" s="85" t="str">
        <f t="shared" si="3"/>
        <v/>
      </c>
      <c r="CC154" s="86" t="str">
        <f t="shared" si="4"/>
        <v/>
      </c>
      <c r="CD154" s="86" t="str">
        <f t="shared" si="5"/>
        <v/>
      </c>
      <c r="CE154" s="86" t="str">
        <f t="shared" si="6"/>
        <v/>
      </c>
      <c r="CF154" s="86" t="str">
        <f t="shared" si="7"/>
        <v/>
      </c>
      <c r="CG154" s="86" t="str">
        <f t="shared" si="8"/>
        <v/>
      </c>
      <c r="CH154" s="86" t="str">
        <f t="shared" si="9"/>
        <v/>
      </c>
      <c r="CI154" s="86" t="str">
        <f t="shared" si="10"/>
        <v/>
      </c>
      <c r="CJ154" s="86" t="str">
        <f t="shared" si="11"/>
        <v/>
      </c>
      <c r="CK154" s="86" t="str">
        <f t="shared" si="12"/>
        <v/>
      </c>
      <c r="CL154" s="86" t="str">
        <f t="shared" si="13"/>
        <v/>
      </c>
      <c r="CM154" s="87" t="str">
        <f t="shared" si="14"/>
        <v/>
      </c>
      <c r="CN154" s="88" t="str">
        <f t="shared" si="26"/>
        <v/>
      </c>
      <c r="CO154" s="88" t="str">
        <f t="shared" si="15"/>
        <v/>
      </c>
      <c r="CP154" s="88" t="str">
        <f t="shared" si="16"/>
        <v/>
      </c>
      <c r="CQ154" s="88" t="str">
        <f t="shared" si="17"/>
        <v/>
      </c>
      <c r="CR154" s="88" t="str">
        <f t="shared" si="18"/>
        <v/>
      </c>
      <c r="CS154" s="88" t="str">
        <f t="shared" si="19"/>
        <v/>
      </c>
      <c r="CT154" s="88" t="str">
        <f t="shared" si="20"/>
        <v/>
      </c>
      <c r="CU154" s="88" t="str">
        <f t="shared" si="21"/>
        <v/>
      </c>
      <c r="CV154" s="88" t="str">
        <f t="shared" si="22"/>
        <v/>
      </c>
      <c r="CW154" s="88" t="str">
        <f t="shared" si="23"/>
        <v/>
      </c>
      <c r="CX154" s="7"/>
      <c r="CY154" s="7"/>
      <c r="CZ154" s="7"/>
      <c r="DA154" s="8"/>
      <c r="DU154" s="93" t="str">
        <f t="shared" si="24"/>
        <v/>
      </c>
      <c r="DV154" s="104" t="str">
        <f>ABA!$A154</f>
        <v/>
      </c>
      <c r="DW154" s="98" t="str">
        <f t="shared" si="25"/>
        <v/>
      </c>
    </row>
    <row r="155" ht="15.75" customHeight="1">
      <c r="A155" s="78"/>
      <c r="B155" s="105"/>
      <c r="C155" s="82"/>
      <c r="D155" s="82"/>
      <c r="E155" s="83"/>
      <c r="F155" s="82"/>
      <c r="G155" s="82"/>
      <c r="H155" s="82"/>
      <c r="I155" s="83"/>
      <c r="J155" s="82"/>
      <c r="K155" s="82"/>
      <c r="L155" s="82"/>
      <c r="M155" s="83"/>
      <c r="N155" s="82"/>
      <c r="O155" s="82"/>
      <c r="P155" s="82"/>
      <c r="Q155" s="83"/>
      <c r="R155" s="82"/>
      <c r="S155" s="82"/>
      <c r="T155" s="82"/>
      <c r="U155" s="83"/>
      <c r="V155" s="82"/>
      <c r="W155" s="82"/>
      <c r="X155" s="82"/>
      <c r="Y155" s="83"/>
      <c r="Z155" s="82"/>
      <c r="AA155" s="82"/>
      <c r="AB155" s="82"/>
      <c r="AC155" s="83"/>
      <c r="AD155" s="82"/>
      <c r="AE155" s="82"/>
      <c r="AF155" s="82"/>
      <c r="AG155" s="83"/>
      <c r="AH155" s="82"/>
      <c r="AI155" s="82"/>
      <c r="AJ155" s="82"/>
      <c r="AK155" s="83"/>
      <c r="AL155" s="82"/>
      <c r="AM155" s="82"/>
      <c r="AN155" s="82"/>
      <c r="AO155" s="82"/>
      <c r="AP155" s="84" t="str">
        <f t="shared" si="2"/>
        <v/>
      </c>
      <c r="AQ155" s="9"/>
      <c r="AR155" s="9"/>
      <c r="AS155" s="8"/>
      <c r="AT155" s="9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8"/>
      <c r="BX155" s="9"/>
      <c r="BY155" s="9"/>
      <c r="BZ155" s="9"/>
      <c r="CA155" s="33"/>
      <c r="CB155" s="85" t="str">
        <f t="shared" si="3"/>
        <v/>
      </c>
      <c r="CC155" s="86" t="str">
        <f t="shared" si="4"/>
        <v/>
      </c>
      <c r="CD155" s="86" t="str">
        <f t="shared" si="5"/>
        <v/>
      </c>
      <c r="CE155" s="86" t="str">
        <f t="shared" si="6"/>
        <v/>
      </c>
      <c r="CF155" s="86" t="str">
        <f t="shared" si="7"/>
        <v/>
      </c>
      <c r="CG155" s="86" t="str">
        <f t="shared" si="8"/>
        <v/>
      </c>
      <c r="CH155" s="86" t="str">
        <f t="shared" si="9"/>
        <v/>
      </c>
      <c r="CI155" s="86" t="str">
        <f t="shared" si="10"/>
        <v/>
      </c>
      <c r="CJ155" s="86" t="str">
        <f t="shared" si="11"/>
        <v/>
      </c>
      <c r="CK155" s="86" t="str">
        <f t="shared" si="12"/>
        <v/>
      </c>
      <c r="CL155" s="86" t="str">
        <f t="shared" si="13"/>
        <v/>
      </c>
      <c r="CM155" s="87" t="str">
        <f t="shared" si="14"/>
        <v/>
      </c>
      <c r="CN155" s="88" t="str">
        <f t="shared" si="26"/>
        <v/>
      </c>
      <c r="CO155" s="88" t="str">
        <f t="shared" si="15"/>
        <v/>
      </c>
      <c r="CP155" s="88" t="str">
        <f t="shared" si="16"/>
        <v/>
      </c>
      <c r="CQ155" s="88" t="str">
        <f t="shared" si="17"/>
        <v/>
      </c>
      <c r="CR155" s="88" t="str">
        <f t="shared" si="18"/>
        <v/>
      </c>
      <c r="CS155" s="88" t="str">
        <f t="shared" si="19"/>
        <v/>
      </c>
      <c r="CT155" s="88" t="str">
        <f t="shared" si="20"/>
        <v/>
      </c>
      <c r="CU155" s="88" t="str">
        <f t="shared" si="21"/>
        <v/>
      </c>
      <c r="CV155" s="88" t="str">
        <f t="shared" si="22"/>
        <v/>
      </c>
      <c r="CW155" s="88" t="str">
        <f t="shared" si="23"/>
        <v/>
      </c>
      <c r="CX155" s="7"/>
      <c r="CY155" s="7"/>
      <c r="CZ155" s="7"/>
      <c r="DA155" s="8"/>
      <c r="DU155" s="104" t="str">
        <f t="shared" si="24"/>
        <v/>
      </c>
      <c r="DV155" s="93" t="str">
        <f>ABA!$A155</f>
        <v/>
      </c>
      <c r="DW155" s="82" t="str">
        <f t="shared" si="25"/>
        <v/>
      </c>
    </row>
    <row r="156" ht="15.75" customHeight="1">
      <c r="A156" s="85"/>
      <c r="B156" s="107"/>
      <c r="C156" s="98"/>
      <c r="D156" s="98"/>
      <c r="E156" s="99"/>
      <c r="F156" s="98"/>
      <c r="G156" s="98"/>
      <c r="H156" s="98"/>
      <c r="I156" s="99"/>
      <c r="J156" s="98"/>
      <c r="K156" s="98"/>
      <c r="L156" s="98"/>
      <c r="M156" s="99"/>
      <c r="N156" s="98"/>
      <c r="O156" s="98"/>
      <c r="P156" s="98"/>
      <c r="Q156" s="99"/>
      <c r="R156" s="98"/>
      <c r="S156" s="98"/>
      <c r="T156" s="98"/>
      <c r="U156" s="99"/>
      <c r="V156" s="98"/>
      <c r="W156" s="98"/>
      <c r="X156" s="98"/>
      <c r="Y156" s="100"/>
      <c r="Z156" s="98"/>
      <c r="AA156" s="98"/>
      <c r="AB156" s="98"/>
      <c r="AC156" s="99"/>
      <c r="AD156" s="98"/>
      <c r="AE156" s="98"/>
      <c r="AF156" s="98"/>
      <c r="AG156" s="99"/>
      <c r="AH156" s="98"/>
      <c r="AI156" s="98"/>
      <c r="AJ156" s="98"/>
      <c r="AK156" s="99"/>
      <c r="AL156" s="98"/>
      <c r="AM156" s="98"/>
      <c r="AN156" s="98"/>
      <c r="AO156" s="98"/>
      <c r="AP156" s="84" t="str">
        <f t="shared" si="2"/>
        <v/>
      </c>
      <c r="AQ156" s="9"/>
      <c r="AR156" s="9"/>
      <c r="AS156" s="8"/>
      <c r="AT156" s="9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8"/>
      <c r="BX156" s="9"/>
      <c r="BY156" s="9"/>
      <c r="BZ156" s="9"/>
      <c r="CA156" s="33"/>
      <c r="CB156" s="85" t="str">
        <f t="shared" si="3"/>
        <v/>
      </c>
      <c r="CC156" s="86" t="str">
        <f t="shared" si="4"/>
        <v/>
      </c>
      <c r="CD156" s="86" t="str">
        <f t="shared" si="5"/>
        <v/>
      </c>
      <c r="CE156" s="86" t="str">
        <f t="shared" si="6"/>
        <v/>
      </c>
      <c r="CF156" s="86" t="str">
        <f t="shared" si="7"/>
        <v/>
      </c>
      <c r="CG156" s="86" t="str">
        <f t="shared" si="8"/>
        <v/>
      </c>
      <c r="CH156" s="86" t="str">
        <f t="shared" si="9"/>
        <v/>
      </c>
      <c r="CI156" s="86" t="str">
        <f t="shared" si="10"/>
        <v/>
      </c>
      <c r="CJ156" s="86" t="str">
        <f t="shared" si="11"/>
        <v/>
      </c>
      <c r="CK156" s="86" t="str">
        <f t="shared" si="12"/>
        <v/>
      </c>
      <c r="CL156" s="86" t="str">
        <f t="shared" si="13"/>
        <v/>
      </c>
      <c r="CM156" s="87" t="str">
        <f t="shared" si="14"/>
        <v/>
      </c>
      <c r="CN156" s="88" t="str">
        <f t="shared" si="26"/>
        <v/>
      </c>
      <c r="CO156" s="88" t="str">
        <f t="shared" si="15"/>
        <v/>
      </c>
      <c r="CP156" s="88" t="str">
        <f t="shared" si="16"/>
        <v/>
      </c>
      <c r="CQ156" s="88" t="str">
        <f t="shared" si="17"/>
        <v/>
      </c>
      <c r="CR156" s="88" t="str">
        <f t="shared" si="18"/>
        <v/>
      </c>
      <c r="CS156" s="88" t="str">
        <f t="shared" si="19"/>
        <v/>
      </c>
      <c r="CT156" s="88" t="str">
        <f t="shared" si="20"/>
        <v/>
      </c>
      <c r="CU156" s="88" t="str">
        <f t="shared" si="21"/>
        <v/>
      </c>
      <c r="CV156" s="88" t="str">
        <f t="shared" si="22"/>
        <v/>
      </c>
      <c r="CW156" s="88" t="str">
        <f t="shared" si="23"/>
        <v/>
      </c>
      <c r="CX156" s="7"/>
      <c r="CY156" s="7"/>
      <c r="CZ156" s="7"/>
      <c r="DA156" s="8"/>
      <c r="DU156" s="93" t="str">
        <f t="shared" si="24"/>
        <v/>
      </c>
      <c r="DV156" s="104" t="str">
        <f>ABA!$A156</f>
        <v/>
      </c>
      <c r="DW156" s="98" t="str">
        <f t="shared" si="25"/>
        <v/>
      </c>
    </row>
    <row r="157" ht="15.75" customHeight="1">
      <c r="A157" s="78"/>
      <c r="B157" s="105"/>
      <c r="C157" s="82"/>
      <c r="D157" s="82"/>
      <c r="E157" s="83"/>
      <c r="F157" s="82"/>
      <c r="G157" s="82"/>
      <c r="H157" s="82"/>
      <c r="I157" s="83"/>
      <c r="J157" s="82"/>
      <c r="K157" s="82"/>
      <c r="L157" s="82"/>
      <c r="M157" s="83"/>
      <c r="N157" s="82"/>
      <c r="O157" s="82"/>
      <c r="P157" s="82"/>
      <c r="Q157" s="83"/>
      <c r="R157" s="82"/>
      <c r="S157" s="82"/>
      <c r="T157" s="82"/>
      <c r="U157" s="83"/>
      <c r="V157" s="82"/>
      <c r="W157" s="82"/>
      <c r="X157" s="82"/>
      <c r="Y157" s="83"/>
      <c r="Z157" s="82"/>
      <c r="AA157" s="82"/>
      <c r="AB157" s="82"/>
      <c r="AC157" s="83"/>
      <c r="AD157" s="82"/>
      <c r="AE157" s="82"/>
      <c r="AF157" s="82"/>
      <c r="AG157" s="83"/>
      <c r="AH157" s="82"/>
      <c r="AI157" s="82"/>
      <c r="AJ157" s="82"/>
      <c r="AK157" s="83"/>
      <c r="AL157" s="82"/>
      <c r="AM157" s="82"/>
      <c r="AN157" s="82"/>
      <c r="AO157" s="82"/>
      <c r="AP157" s="84" t="str">
        <f t="shared" si="2"/>
        <v/>
      </c>
      <c r="AQ157" s="9"/>
      <c r="AR157" s="9"/>
      <c r="AS157" s="8"/>
      <c r="AT157" s="9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8"/>
      <c r="BX157" s="9"/>
      <c r="BY157" s="9"/>
      <c r="BZ157" s="9"/>
      <c r="CA157" s="33"/>
      <c r="CB157" s="85" t="str">
        <f t="shared" si="3"/>
        <v/>
      </c>
      <c r="CC157" s="86" t="str">
        <f t="shared" si="4"/>
        <v/>
      </c>
      <c r="CD157" s="86" t="str">
        <f t="shared" si="5"/>
        <v/>
      </c>
      <c r="CE157" s="86" t="str">
        <f t="shared" si="6"/>
        <v/>
      </c>
      <c r="CF157" s="86" t="str">
        <f t="shared" si="7"/>
        <v/>
      </c>
      <c r="CG157" s="86" t="str">
        <f t="shared" si="8"/>
        <v/>
      </c>
      <c r="CH157" s="86" t="str">
        <f t="shared" si="9"/>
        <v/>
      </c>
      <c r="CI157" s="86" t="str">
        <f t="shared" si="10"/>
        <v/>
      </c>
      <c r="CJ157" s="86" t="str">
        <f t="shared" si="11"/>
        <v/>
      </c>
      <c r="CK157" s="86" t="str">
        <f t="shared" si="12"/>
        <v/>
      </c>
      <c r="CL157" s="86" t="str">
        <f t="shared" si="13"/>
        <v/>
      </c>
      <c r="CM157" s="87" t="str">
        <f t="shared" si="14"/>
        <v/>
      </c>
      <c r="CN157" s="88" t="str">
        <f t="shared" si="26"/>
        <v/>
      </c>
      <c r="CO157" s="88" t="str">
        <f t="shared" si="15"/>
        <v/>
      </c>
      <c r="CP157" s="88" t="str">
        <f t="shared" si="16"/>
        <v/>
      </c>
      <c r="CQ157" s="88" t="str">
        <f t="shared" si="17"/>
        <v/>
      </c>
      <c r="CR157" s="88" t="str">
        <f t="shared" si="18"/>
        <v/>
      </c>
      <c r="CS157" s="88" t="str">
        <f t="shared" si="19"/>
        <v/>
      </c>
      <c r="CT157" s="88" t="str">
        <f t="shared" si="20"/>
        <v/>
      </c>
      <c r="CU157" s="88" t="str">
        <f t="shared" si="21"/>
        <v/>
      </c>
      <c r="CV157" s="88" t="str">
        <f t="shared" si="22"/>
        <v/>
      </c>
      <c r="CW157" s="88" t="str">
        <f t="shared" si="23"/>
        <v/>
      </c>
      <c r="CX157" s="7"/>
      <c r="CY157" s="7"/>
      <c r="CZ157" s="7"/>
      <c r="DA157" s="8"/>
      <c r="DU157" s="104" t="str">
        <f t="shared" si="24"/>
        <v/>
      </c>
      <c r="DV157" s="93" t="str">
        <f>ABA!$A157</f>
        <v/>
      </c>
      <c r="DW157" s="82" t="str">
        <f t="shared" si="25"/>
        <v/>
      </c>
    </row>
    <row r="158" ht="15.75" customHeight="1">
      <c r="A158" s="85"/>
      <c r="B158" s="107"/>
      <c r="C158" s="98"/>
      <c r="D158" s="98"/>
      <c r="E158" s="99"/>
      <c r="F158" s="98"/>
      <c r="G158" s="98"/>
      <c r="H158" s="98"/>
      <c r="I158" s="99"/>
      <c r="J158" s="98"/>
      <c r="K158" s="98"/>
      <c r="L158" s="98"/>
      <c r="M158" s="99"/>
      <c r="N158" s="98"/>
      <c r="O158" s="98"/>
      <c r="P158" s="98"/>
      <c r="Q158" s="99"/>
      <c r="R158" s="98"/>
      <c r="S158" s="98"/>
      <c r="T158" s="98"/>
      <c r="U158" s="99"/>
      <c r="V158" s="98"/>
      <c r="W158" s="98"/>
      <c r="X158" s="98"/>
      <c r="Y158" s="100"/>
      <c r="Z158" s="98"/>
      <c r="AA158" s="98"/>
      <c r="AB158" s="98"/>
      <c r="AC158" s="99"/>
      <c r="AD158" s="98"/>
      <c r="AE158" s="98"/>
      <c r="AF158" s="98"/>
      <c r="AG158" s="99"/>
      <c r="AH158" s="98"/>
      <c r="AI158" s="98"/>
      <c r="AJ158" s="98"/>
      <c r="AK158" s="99"/>
      <c r="AL158" s="98"/>
      <c r="AM158" s="98"/>
      <c r="AN158" s="98"/>
      <c r="AO158" s="98"/>
      <c r="AP158" s="84" t="str">
        <f t="shared" si="2"/>
        <v/>
      </c>
      <c r="AQ158" s="9"/>
      <c r="AR158" s="9"/>
      <c r="AS158" s="8"/>
      <c r="AT158" s="9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8"/>
      <c r="BX158" s="9"/>
      <c r="BY158" s="9"/>
      <c r="BZ158" s="9"/>
      <c r="CA158" s="33"/>
      <c r="CB158" s="85" t="str">
        <f t="shared" si="3"/>
        <v/>
      </c>
      <c r="CC158" s="86" t="str">
        <f t="shared" si="4"/>
        <v/>
      </c>
      <c r="CD158" s="86" t="str">
        <f t="shared" si="5"/>
        <v/>
      </c>
      <c r="CE158" s="86" t="str">
        <f t="shared" si="6"/>
        <v/>
      </c>
      <c r="CF158" s="86" t="str">
        <f t="shared" si="7"/>
        <v/>
      </c>
      <c r="CG158" s="86" t="str">
        <f t="shared" si="8"/>
        <v/>
      </c>
      <c r="CH158" s="86" t="str">
        <f t="shared" si="9"/>
        <v/>
      </c>
      <c r="CI158" s="86" t="str">
        <f t="shared" si="10"/>
        <v/>
      </c>
      <c r="CJ158" s="86" t="str">
        <f t="shared" si="11"/>
        <v/>
      </c>
      <c r="CK158" s="86" t="str">
        <f t="shared" si="12"/>
        <v/>
      </c>
      <c r="CL158" s="86" t="str">
        <f t="shared" si="13"/>
        <v/>
      </c>
      <c r="CM158" s="87" t="str">
        <f t="shared" si="14"/>
        <v/>
      </c>
      <c r="CN158" s="88" t="str">
        <f t="shared" si="26"/>
        <v/>
      </c>
      <c r="CO158" s="88" t="str">
        <f t="shared" si="15"/>
        <v/>
      </c>
      <c r="CP158" s="88" t="str">
        <f t="shared" si="16"/>
        <v/>
      </c>
      <c r="CQ158" s="88" t="str">
        <f t="shared" si="17"/>
        <v/>
      </c>
      <c r="CR158" s="88" t="str">
        <f t="shared" si="18"/>
        <v/>
      </c>
      <c r="CS158" s="88" t="str">
        <f t="shared" si="19"/>
        <v/>
      </c>
      <c r="CT158" s="88" t="str">
        <f t="shared" si="20"/>
        <v/>
      </c>
      <c r="CU158" s="88" t="str">
        <f t="shared" si="21"/>
        <v/>
      </c>
      <c r="CV158" s="88" t="str">
        <f t="shared" si="22"/>
        <v/>
      </c>
      <c r="CW158" s="88" t="str">
        <f t="shared" si="23"/>
        <v/>
      </c>
      <c r="CX158" s="7"/>
      <c r="CY158" s="7"/>
      <c r="CZ158" s="7"/>
      <c r="DA158" s="8"/>
      <c r="DU158" s="93" t="str">
        <f t="shared" si="24"/>
        <v/>
      </c>
      <c r="DV158" s="104" t="str">
        <f>ABA!$A158</f>
        <v/>
      </c>
      <c r="DW158" s="98" t="str">
        <f t="shared" si="25"/>
        <v/>
      </c>
    </row>
    <row r="159" ht="15.75" customHeight="1">
      <c r="A159" s="78"/>
      <c r="B159" s="105"/>
      <c r="C159" s="82"/>
      <c r="D159" s="82"/>
      <c r="E159" s="83"/>
      <c r="F159" s="82"/>
      <c r="G159" s="82"/>
      <c r="H159" s="82"/>
      <c r="I159" s="83"/>
      <c r="J159" s="82"/>
      <c r="K159" s="82"/>
      <c r="L159" s="82"/>
      <c r="M159" s="83"/>
      <c r="N159" s="82"/>
      <c r="O159" s="82"/>
      <c r="P159" s="82"/>
      <c r="Q159" s="83"/>
      <c r="R159" s="82"/>
      <c r="S159" s="82"/>
      <c r="T159" s="82"/>
      <c r="U159" s="83"/>
      <c r="V159" s="82"/>
      <c r="W159" s="82"/>
      <c r="X159" s="82"/>
      <c r="Y159" s="83"/>
      <c r="Z159" s="82"/>
      <c r="AA159" s="82"/>
      <c r="AB159" s="82"/>
      <c r="AC159" s="83"/>
      <c r="AD159" s="82"/>
      <c r="AE159" s="82"/>
      <c r="AF159" s="82"/>
      <c r="AG159" s="83"/>
      <c r="AH159" s="82"/>
      <c r="AI159" s="82"/>
      <c r="AJ159" s="82"/>
      <c r="AK159" s="83"/>
      <c r="AL159" s="82"/>
      <c r="AM159" s="82"/>
      <c r="AN159" s="82"/>
      <c r="AO159" s="82"/>
      <c r="AP159" s="84" t="str">
        <f t="shared" si="2"/>
        <v/>
      </c>
      <c r="AQ159" s="9"/>
      <c r="AR159" s="9"/>
      <c r="AS159" s="8"/>
      <c r="AT159" s="9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8"/>
      <c r="BX159" s="9"/>
      <c r="BY159" s="9"/>
      <c r="BZ159" s="9"/>
      <c r="CA159" s="33"/>
      <c r="CB159" s="85" t="str">
        <f t="shared" si="3"/>
        <v/>
      </c>
      <c r="CC159" s="86" t="str">
        <f t="shared" si="4"/>
        <v/>
      </c>
      <c r="CD159" s="86" t="str">
        <f t="shared" si="5"/>
        <v/>
      </c>
      <c r="CE159" s="86" t="str">
        <f t="shared" si="6"/>
        <v/>
      </c>
      <c r="CF159" s="86" t="str">
        <f t="shared" si="7"/>
        <v/>
      </c>
      <c r="CG159" s="86" t="str">
        <f t="shared" si="8"/>
        <v/>
      </c>
      <c r="CH159" s="86" t="str">
        <f t="shared" si="9"/>
        <v/>
      </c>
      <c r="CI159" s="86" t="str">
        <f t="shared" si="10"/>
        <v/>
      </c>
      <c r="CJ159" s="86" t="str">
        <f t="shared" si="11"/>
        <v/>
      </c>
      <c r="CK159" s="86" t="str">
        <f t="shared" si="12"/>
        <v/>
      </c>
      <c r="CL159" s="86" t="str">
        <f t="shared" si="13"/>
        <v/>
      </c>
      <c r="CM159" s="87" t="str">
        <f t="shared" si="14"/>
        <v/>
      </c>
      <c r="CN159" s="88" t="str">
        <f t="shared" si="26"/>
        <v/>
      </c>
      <c r="CO159" s="88" t="str">
        <f t="shared" si="15"/>
        <v/>
      </c>
      <c r="CP159" s="88" t="str">
        <f t="shared" si="16"/>
        <v/>
      </c>
      <c r="CQ159" s="88" t="str">
        <f t="shared" si="17"/>
        <v/>
      </c>
      <c r="CR159" s="88" t="str">
        <f t="shared" si="18"/>
        <v/>
      </c>
      <c r="CS159" s="88" t="str">
        <f t="shared" si="19"/>
        <v/>
      </c>
      <c r="CT159" s="88" t="str">
        <f t="shared" si="20"/>
        <v/>
      </c>
      <c r="CU159" s="88" t="str">
        <f t="shared" si="21"/>
        <v/>
      </c>
      <c r="CV159" s="88" t="str">
        <f t="shared" si="22"/>
        <v/>
      </c>
      <c r="CW159" s="88" t="str">
        <f t="shared" si="23"/>
        <v/>
      </c>
      <c r="CX159" s="7"/>
      <c r="CY159" s="7"/>
      <c r="CZ159" s="7"/>
      <c r="DA159" s="8"/>
      <c r="DU159" s="104" t="str">
        <f t="shared" si="24"/>
        <v/>
      </c>
      <c r="DV159" s="93" t="str">
        <f>ABA!$A159</f>
        <v/>
      </c>
      <c r="DW159" s="82" t="str">
        <f t="shared" si="25"/>
        <v/>
      </c>
    </row>
    <row r="160" ht="15.75" customHeight="1">
      <c r="A160" s="85"/>
      <c r="B160" s="107"/>
      <c r="C160" s="98"/>
      <c r="D160" s="98"/>
      <c r="E160" s="99"/>
      <c r="F160" s="98"/>
      <c r="G160" s="98"/>
      <c r="H160" s="98"/>
      <c r="I160" s="99"/>
      <c r="J160" s="98"/>
      <c r="K160" s="98"/>
      <c r="L160" s="98"/>
      <c r="M160" s="99"/>
      <c r="N160" s="98"/>
      <c r="O160" s="98"/>
      <c r="P160" s="98"/>
      <c r="Q160" s="99"/>
      <c r="R160" s="98"/>
      <c r="S160" s="98"/>
      <c r="T160" s="98"/>
      <c r="U160" s="99"/>
      <c r="V160" s="98"/>
      <c r="W160" s="98"/>
      <c r="X160" s="98"/>
      <c r="Y160" s="100"/>
      <c r="Z160" s="98"/>
      <c r="AA160" s="98"/>
      <c r="AB160" s="98"/>
      <c r="AC160" s="99"/>
      <c r="AD160" s="98"/>
      <c r="AE160" s="98"/>
      <c r="AF160" s="98"/>
      <c r="AG160" s="99"/>
      <c r="AH160" s="98"/>
      <c r="AI160" s="98"/>
      <c r="AJ160" s="98"/>
      <c r="AK160" s="99"/>
      <c r="AL160" s="98"/>
      <c r="AM160" s="98"/>
      <c r="AN160" s="98"/>
      <c r="AO160" s="98"/>
      <c r="AP160" s="84" t="str">
        <f t="shared" si="2"/>
        <v/>
      </c>
      <c r="AQ160" s="9"/>
      <c r="AR160" s="9"/>
      <c r="AS160" s="8"/>
      <c r="AT160" s="9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8"/>
      <c r="BX160" s="9"/>
      <c r="BY160" s="9"/>
      <c r="BZ160" s="9"/>
      <c r="CA160" s="33"/>
      <c r="CB160" s="85" t="str">
        <f t="shared" si="3"/>
        <v/>
      </c>
      <c r="CC160" s="86" t="str">
        <f t="shared" si="4"/>
        <v/>
      </c>
      <c r="CD160" s="86" t="str">
        <f t="shared" si="5"/>
        <v/>
      </c>
      <c r="CE160" s="86" t="str">
        <f t="shared" si="6"/>
        <v/>
      </c>
      <c r="CF160" s="86" t="str">
        <f t="shared" si="7"/>
        <v/>
      </c>
      <c r="CG160" s="86" t="str">
        <f t="shared" si="8"/>
        <v/>
      </c>
      <c r="CH160" s="86" t="str">
        <f t="shared" si="9"/>
        <v/>
      </c>
      <c r="CI160" s="86" t="str">
        <f t="shared" si="10"/>
        <v/>
      </c>
      <c r="CJ160" s="86" t="str">
        <f t="shared" si="11"/>
        <v/>
      </c>
      <c r="CK160" s="86" t="str">
        <f t="shared" si="12"/>
        <v/>
      </c>
      <c r="CL160" s="86" t="str">
        <f t="shared" si="13"/>
        <v/>
      </c>
      <c r="CM160" s="87" t="str">
        <f t="shared" si="14"/>
        <v/>
      </c>
      <c r="CN160" s="88" t="str">
        <f t="shared" si="26"/>
        <v/>
      </c>
      <c r="CO160" s="88" t="str">
        <f t="shared" si="15"/>
        <v/>
      </c>
      <c r="CP160" s="88" t="str">
        <f t="shared" si="16"/>
        <v/>
      </c>
      <c r="CQ160" s="88" t="str">
        <f t="shared" si="17"/>
        <v/>
      </c>
      <c r="CR160" s="88" t="str">
        <f t="shared" si="18"/>
        <v/>
      </c>
      <c r="CS160" s="88" t="str">
        <f t="shared" si="19"/>
        <v/>
      </c>
      <c r="CT160" s="88" t="str">
        <f t="shared" si="20"/>
        <v/>
      </c>
      <c r="CU160" s="88" t="str">
        <f t="shared" si="21"/>
        <v/>
      </c>
      <c r="CV160" s="88" t="str">
        <f t="shared" si="22"/>
        <v/>
      </c>
      <c r="CW160" s="88" t="str">
        <f t="shared" si="23"/>
        <v/>
      </c>
      <c r="CX160" s="7"/>
      <c r="CY160" s="7"/>
      <c r="CZ160" s="7"/>
      <c r="DA160" s="8"/>
      <c r="DU160" s="93" t="str">
        <f t="shared" si="24"/>
        <v/>
      </c>
      <c r="DV160" s="104" t="str">
        <f>ABA!$A160</f>
        <v/>
      </c>
      <c r="DW160" s="98" t="str">
        <f t="shared" si="25"/>
        <v/>
      </c>
    </row>
    <row r="161" ht="15.75" customHeight="1">
      <c r="A161" s="78"/>
      <c r="B161" s="105"/>
      <c r="C161" s="82"/>
      <c r="D161" s="82"/>
      <c r="E161" s="83"/>
      <c r="F161" s="82"/>
      <c r="G161" s="82"/>
      <c r="H161" s="82"/>
      <c r="I161" s="83"/>
      <c r="J161" s="82"/>
      <c r="K161" s="82"/>
      <c r="L161" s="82"/>
      <c r="M161" s="83"/>
      <c r="N161" s="82"/>
      <c r="O161" s="82"/>
      <c r="P161" s="82"/>
      <c r="Q161" s="83"/>
      <c r="R161" s="82"/>
      <c r="S161" s="82"/>
      <c r="T161" s="82"/>
      <c r="U161" s="83"/>
      <c r="V161" s="82"/>
      <c r="W161" s="82"/>
      <c r="X161" s="82"/>
      <c r="Y161" s="83"/>
      <c r="Z161" s="82"/>
      <c r="AA161" s="82"/>
      <c r="AB161" s="82"/>
      <c r="AC161" s="83"/>
      <c r="AD161" s="82"/>
      <c r="AE161" s="82"/>
      <c r="AF161" s="82"/>
      <c r="AG161" s="83"/>
      <c r="AH161" s="82"/>
      <c r="AI161" s="82"/>
      <c r="AJ161" s="82"/>
      <c r="AK161" s="83"/>
      <c r="AL161" s="82"/>
      <c r="AM161" s="82"/>
      <c r="AN161" s="82"/>
      <c r="AO161" s="82"/>
      <c r="AP161" s="84" t="str">
        <f t="shared" si="2"/>
        <v/>
      </c>
      <c r="AQ161" s="9"/>
      <c r="AR161" s="9"/>
      <c r="AS161" s="8"/>
      <c r="AT161" s="9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8"/>
      <c r="BX161" s="9"/>
      <c r="BY161" s="9"/>
      <c r="BZ161" s="9"/>
      <c r="CA161" s="33"/>
      <c r="CB161" s="85" t="str">
        <f t="shared" si="3"/>
        <v/>
      </c>
      <c r="CC161" s="86" t="str">
        <f t="shared" si="4"/>
        <v/>
      </c>
      <c r="CD161" s="86" t="str">
        <f t="shared" si="5"/>
        <v/>
      </c>
      <c r="CE161" s="86" t="str">
        <f t="shared" si="6"/>
        <v/>
      </c>
      <c r="CF161" s="86" t="str">
        <f t="shared" si="7"/>
        <v/>
      </c>
      <c r="CG161" s="86" t="str">
        <f t="shared" si="8"/>
        <v/>
      </c>
      <c r="CH161" s="86" t="str">
        <f t="shared" si="9"/>
        <v/>
      </c>
      <c r="CI161" s="86" t="str">
        <f t="shared" si="10"/>
        <v/>
      </c>
      <c r="CJ161" s="86" t="str">
        <f t="shared" si="11"/>
        <v/>
      </c>
      <c r="CK161" s="86" t="str">
        <f t="shared" si="12"/>
        <v/>
      </c>
      <c r="CL161" s="86" t="str">
        <f t="shared" si="13"/>
        <v/>
      </c>
      <c r="CM161" s="87" t="str">
        <f t="shared" si="14"/>
        <v/>
      </c>
      <c r="CN161" s="88" t="str">
        <f t="shared" si="26"/>
        <v/>
      </c>
      <c r="CO161" s="88" t="str">
        <f t="shared" si="15"/>
        <v/>
      </c>
      <c r="CP161" s="88" t="str">
        <f t="shared" si="16"/>
        <v/>
      </c>
      <c r="CQ161" s="88" t="str">
        <f t="shared" si="17"/>
        <v/>
      </c>
      <c r="CR161" s="88" t="str">
        <f t="shared" si="18"/>
        <v/>
      </c>
      <c r="CS161" s="88" t="str">
        <f t="shared" si="19"/>
        <v/>
      </c>
      <c r="CT161" s="88" t="str">
        <f t="shared" si="20"/>
        <v/>
      </c>
      <c r="CU161" s="88" t="str">
        <f t="shared" si="21"/>
        <v/>
      </c>
      <c r="CV161" s="88" t="str">
        <f t="shared" si="22"/>
        <v/>
      </c>
      <c r="CW161" s="88" t="str">
        <f t="shared" si="23"/>
        <v/>
      </c>
      <c r="CX161" s="7"/>
      <c r="CY161" s="7"/>
      <c r="CZ161" s="7"/>
      <c r="DA161" s="8"/>
      <c r="DU161" s="104" t="str">
        <f t="shared" si="24"/>
        <v/>
      </c>
      <c r="DV161" s="93" t="str">
        <f>ABA!$A161</f>
        <v/>
      </c>
      <c r="DW161" s="82" t="str">
        <f t="shared" si="25"/>
        <v/>
      </c>
    </row>
    <row r="162" ht="15.75" customHeight="1">
      <c r="A162" s="85"/>
      <c r="B162" s="107"/>
      <c r="C162" s="98"/>
      <c r="D162" s="98"/>
      <c r="E162" s="99"/>
      <c r="F162" s="98"/>
      <c r="G162" s="98"/>
      <c r="H162" s="98"/>
      <c r="I162" s="99"/>
      <c r="J162" s="98"/>
      <c r="K162" s="98"/>
      <c r="L162" s="98"/>
      <c r="M162" s="99"/>
      <c r="N162" s="98"/>
      <c r="O162" s="98"/>
      <c r="P162" s="98"/>
      <c r="Q162" s="99"/>
      <c r="R162" s="98"/>
      <c r="S162" s="98"/>
      <c r="T162" s="98"/>
      <c r="U162" s="99"/>
      <c r="V162" s="98"/>
      <c r="W162" s="98"/>
      <c r="X162" s="98"/>
      <c r="Y162" s="100"/>
      <c r="Z162" s="98"/>
      <c r="AA162" s="98"/>
      <c r="AB162" s="98"/>
      <c r="AC162" s="99"/>
      <c r="AD162" s="98"/>
      <c r="AE162" s="98"/>
      <c r="AF162" s="98"/>
      <c r="AG162" s="99"/>
      <c r="AH162" s="98"/>
      <c r="AI162" s="98"/>
      <c r="AJ162" s="98"/>
      <c r="AK162" s="99"/>
      <c r="AL162" s="98"/>
      <c r="AM162" s="98"/>
      <c r="AN162" s="98"/>
      <c r="AO162" s="98"/>
      <c r="AP162" s="84" t="str">
        <f t="shared" si="2"/>
        <v/>
      </c>
      <c r="AQ162" s="9"/>
      <c r="AR162" s="9"/>
      <c r="AS162" s="8"/>
      <c r="AT162" s="9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8"/>
      <c r="BX162" s="9"/>
      <c r="BY162" s="9"/>
      <c r="BZ162" s="9"/>
      <c r="CA162" s="33"/>
      <c r="CB162" s="85" t="str">
        <f t="shared" si="3"/>
        <v/>
      </c>
      <c r="CC162" s="86" t="str">
        <f t="shared" si="4"/>
        <v/>
      </c>
      <c r="CD162" s="86" t="str">
        <f t="shared" si="5"/>
        <v/>
      </c>
      <c r="CE162" s="86" t="str">
        <f t="shared" si="6"/>
        <v/>
      </c>
      <c r="CF162" s="86" t="str">
        <f t="shared" si="7"/>
        <v/>
      </c>
      <c r="CG162" s="86" t="str">
        <f t="shared" si="8"/>
        <v/>
      </c>
      <c r="CH162" s="86" t="str">
        <f t="shared" si="9"/>
        <v/>
      </c>
      <c r="CI162" s="86" t="str">
        <f t="shared" si="10"/>
        <v/>
      </c>
      <c r="CJ162" s="86" t="str">
        <f t="shared" si="11"/>
        <v/>
      </c>
      <c r="CK162" s="86" t="str">
        <f t="shared" si="12"/>
        <v/>
      </c>
      <c r="CL162" s="86" t="str">
        <f t="shared" si="13"/>
        <v/>
      </c>
      <c r="CM162" s="87" t="str">
        <f t="shared" si="14"/>
        <v/>
      </c>
      <c r="CN162" s="88" t="str">
        <f t="shared" si="26"/>
        <v/>
      </c>
      <c r="CO162" s="88" t="str">
        <f t="shared" si="15"/>
        <v/>
      </c>
      <c r="CP162" s="88" t="str">
        <f t="shared" si="16"/>
        <v/>
      </c>
      <c r="CQ162" s="88" t="str">
        <f t="shared" si="17"/>
        <v/>
      </c>
      <c r="CR162" s="88" t="str">
        <f t="shared" si="18"/>
        <v/>
      </c>
      <c r="CS162" s="88" t="str">
        <f t="shared" si="19"/>
        <v/>
      </c>
      <c r="CT162" s="88" t="str">
        <f t="shared" si="20"/>
        <v/>
      </c>
      <c r="CU162" s="88" t="str">
        <f t="shared" si="21"/>
        <v/>
      </c>
      <c r="CV162" s="88" t="str">
        <f t="shared" si="22"/>
        <v/>
      </c>
      <c r="CW162" s="88" t="str">
        <f t="shared" si="23"/>
        <v/>
      </c>
      <c r="CX162" s="7"/>
      <c r="CY162" s="7"/>
      <c r="CZ162" s="7"/>
      <c r="DA162" s="8"/>
      <c r="DU162" s="93" t="str">
        <f t="shared" si="24"/>
        <v/>
      </c>
      <c r="DV162" s="104" t="str">
        <f>ABA!$A162</f>
        <v/>
      </c>
      <c r="DW162" s="98" t="str">
        <f t="shared" si="25"/>
        <v/>
      </c>
    </row>
    <row r="163" ht="15.75" customHeight="1">
      <c r="A163" s="78"/>
      <c r="B163" s="105"/>
      <c r="C163" s="82"/>
      <c r="D163" s="82"/>
      <c r="E163" s="83"/>
      <c r="F163" s="82"/>
      <c r="G163" s="82"/>
      <c r="H163" s="82"/>
      <c r="I163" s="83"/>
      <c r="J163" s="82"/>
      <c r="K163" s="82"/>
      <c r="L163" s="82"/>
      <c r="M163" s="83"/>
      <c r="N163" s="82"/>
      <c r="O163" s="82"/>
      <c r="P163" s="82"/>
      <c r="Q163" s="83"/>
      <c r="R163" s="82"/>
      <c r="S163" s="82"/>
      <c r="T163" s="82"/>
      <c r="U163" s="83"/>
      <c r="V163" s="82"/>
      <c r="W163" s="82"/>
      <c r="X163" s="82"/>
      <c r="Y163" s="83"/>
      <c r="Z163" s="82"/>
      <c r="AA163" s="82"/>
      <c r="AB163" s="82"/>
      <c r="AC163" s="83"/>
      <c r="AD163" s="82"/>
      <c r="AE163" s="82"/>
      <c r="AF163" s="82"/>
      <c r="AG163" s="83"/>
      <c r="AH163" s="82"/>
      <c r="AI163" s="82"/>
      <c r="AJ163" s="82"/>
      <c r="AK163" s="83"/>
      <c r="AL163" s="82"/>
      <c r="AM163" s="82"/>
      <c r="AN163" s="82"/>
      <c r="AO163" s="82"/>
      <c r="AP163" s="84" t="str">
        <f t="shared" si="2"/>
        <v/>
      </c>
      <c r="AQ163" s="9"/>
      <c r="AR163" s="9"/>
      <c r="AS163" s="8"/>
      <c r="AT163" s="9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8"/>
      <c r="BX163" s="9"/>
      <c r="BY163" s="9"/>
      <c r="BZ163" s="9"/>
      <c r="CA163" s="33"/>
      <c r="CB163" s="85" t="str">
        <f t="shared" si="3"/>
        <v/>
      </c>
      <c r="CC163" s="86" t="str">
        <f t="shared" si="4"/>
        <v/>
      </c>
      <c r="CD163" s="86" t="str">
        <f t="shared" si="5"/>
        <v/>
      </c>
      <c r="CE163" s="86" t="str">
        <f t="shared" si="6"/>
        <v/>
      </c>
      <c r="CF163" s="86" t="str">
        <f t="shared" si="7"/>
        <v/>
      </c>
      <c r="CG163" s="86" t="str">
        <f t="shared" si="8"/>
        <v/>
      </c>
      <c r="CH163" s="86" t="str">
        <f t="shared" si="9"/>
        <v/>
      </c>
      <c r="CI163" s="86" t="str">
        <f t="shared" si="10"/>
        <v/>
      </c>
      <c r="CJ163" s="86" t="str">
        <f t="shared" si="11"/>
        <v/>
      </c>
      <c r="CK163" s="86" t="str">
        <f t="shared" si="12"/>
        <v/>
      </c>
      <c r="CL163" s="86" t="str">
        <f t="shared" si="13"/>
        <v/>
      </c>
      <c r="CM163" s="87" t="str">
        <f t="shared" si="14"/>
        <v/>
      </c>
      <c r="CN163" s="88" t="str">
        <f t="shared" si="26"/>
        <v/>
      </c>
      <c r="CO163" s="88" t="str">
        <f t="shared" si="15"/>
        <v/>
      </c>
      <c r="CP163" s="88" t="str">
        <f t="shared" si="16"/>
        <v/>
      </c>
      <c r="CQ163" s="88" t="str">
        <f t="shared" si="17"/>
        <v/>
      </c>
      <c r="CR163" s="88" t="str">
        <f t="shared" si="18"/>
        <v/>
      </c>
      <c r="CS163" s="88" t="str">
        <f t="shared" si="19"/>
        <v/>
      </c>
      <c r="CT163" s="88" t="str">
        <f t="shared" si="20"/>
        <v/>
      </c>
      <c r="CU163" s="88" t="str">
        <f t="shared" si="21"/>
        <v/>
      </c>
      <c r="CV163" s="88" t="str">
        <f t="shared" si="22"/>
        <v/>
      </c>
      <c r="CW163" s="88" t="str">
        <f t="shared" si="23"/>
        <v/>
      </c>
      <c r="CX163" s="7"/>
      <c r="CY163" s="7"/>
      <c r="CZ163" s="7"/>
      <c r="DA163" s="8"/>
      <c r="DU163" s="104" t="str">
        <f t="shared" si="24"/>
        <v/>
      </c>
      <c r="DV163" s="93" t="str">
        <f>ABA!$A163</f>
        <v/>
      </c>
      <c r="DW163" s="82" t="str">
        <f t="shared" si="25"/>
        <v/>
      </c>
    </row>
    <row r="164" ht="15.75" customHeight="1">
      <c r="A164" s="85"/>
      <c r="B164" s="107"/>
      <c r="C164" s="98"/>
      <c r="D164" s="98"/>
      <c r="E164" s="99"/>
      <c r="F164" s="98"/>
      <c r="G164" s="98"/>
      <c r="H164" s="98"/>
      <c r="I164" s="99"/>
      <c r="J164" s="98"/>
      <c r="K164" s="98"/>
      <c r="L164" s="98"/>
      <c r="M164" s="99"/>
      <c r="N164" s="98"/>
      <c r="O164" s="98"/>
      <c r="P164" s="98"/>
      <c r="Q164" s="99"/>
      <c r="R164" s="98"/>
      <c r="S164" s="98"/>
      <c r="T164" s="98"/>
      <c r="U164" s="99"/>
      <c r="V164" s="98"/>
      <c r="W164" s="98"/>
      <c r="X164" s="98"/>
      <c r="Y164" s="100"/>
      <c r="Z164" s="98"/>
      <c r="AA164" s="98"/>
      <c r="AB164" s="98"/>
      <c r="AC164" s="99"/>
      <c r="AD164" s="98"/>
      <c r="AE164" s="98"/>
      <c r="AF164" s="98"/>
      <c r="AG164" s="99"/>
      <c r="AH164" s="98"/>
      <c r="AI164" s="98"/>
      <c r="AJ164" s="98"/>
      <c r="AK164" s="99"/>
      <c r="AL164" s="98"/>
      <c r="AM164" s="98"/>
      <c r="AN164" s="98"/>
      <c r="AO164" s="98"/>
      <c r="AP164" s="84" t="str">
        <f t="shared" si="2"/>
        <v/>
      </c>
      <c r="AQ164" s="9"/>
      <c r="AR164" s="9"/>
      <c r="AS164" s="8"/>
      <c r="AT164" s="9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8"/>
      <c r="BX164" s="9"/>
      <c r="BY164" s="9"/>
      <c r="BZ164" s="9"/>
      <c r="CA164" s="33"/>
      <c r="CB164" s="85" t="str">
        <f t="shared" si="3"/>
        <v/>
      </c>
      <c r="CC164" s="86" t="str">
        <f t="shared" si="4"/>
        <v/>
      </c>
      <c r="CD164" s="86" t="str">
        <f t="shared" si="5"/>
        <v/>
      </c>
      <c r="CE164" s="86" t="str">
        <f t="shared" si="6"/>
        <v/>
      </c>
      <c r="CF164" s="86" t="str">
        <f t="shared" si="7"/>
        <v/>
      </c>
      <c r="CG164" s="86" t="str">
        <f t="shared" si="8"/>
        <v/>
      </c>
      <c r="CH164" s="86" t="str">
        <f t="shared" si="9"/>
        <v/>
      </c>
      <c r="CI164" s="86" t="str">
        <f t="shared" si="10"/>
        <v/>
      </c>
      <c r="CJ164" s="86" t="str">
        <f t="shared" si="11"/>
        <v/>
      </c>
      <c r="CK164" s="86" t="str">
        <f t="shared" si="12"/>
        <v/>
      </c>
      <c r="CL164" s="86" t="str">
        <f t="shared" si="13"/>
        <v/>
      </c>
      <c r="CM164" s="87" t="str">
        <f t="shared" si="14"/>
        <v/>
      </c>
      <c r="CN164" s="88" t="str">
        <f t="shared" si="26"/>
        <v/>
      </c>
      <c r="CO164" s="88" t="str">
        <f t="shared" si="15"/>
        <v/>
      </c>
      <c r="CP164" s="88" t="str">
        <f t="shared" si="16"/>
        <v/>
      </c>
      <c r="CQ164" s="88" t="str">
        <f t="shared" si="17"/>
        <v/>
      </c>
      <c r="CR164" s="88" t="str">
        <f t="shared" si="18"/>
        <v/>
      </c>
      <c r="CS164" s="88" t="str">
        <f t="shared" si="19"/>
        <v/>
      </c>
      <c r="CT164" s="88" t="str">
        <f t="shared" si="20"/>
        <v/>
      </c>
      <c r="CU164" s="88" t="str">
        <f t="shared" si="21"/>
        <v/>
      </c>
      <c r="CV164" s="88" t="str">
        <f t="shared" si="22"/>
        <v/>
      </c>
      <c r="CW164" s="88" t="str">
        <f t="shared" si="23"/>
        <v/>
      </c>
      <c r="CX164" s="7"/>
      <c r="CY164" s="7"/>
      <c r="CZ164" s="7"/>
      <c r="DA164" s="8"/>
      <c r="DU164" s="93" t="str">
        <f t="shared" si="24"/>
        <v/>
      </c>
      <c r="DV164" s="104" t="str">
        <f>ABA!$A164</f>
        <v/>
      </c>
      <c r="DW164" s="98" t="str">
        <f t="shared" si="25"/>
        <v/>
      </c>
    </row>
    <row r="165" ht="15.75" customHeight="1">
      <c r="A165" s="78"/>
      <c r="B165" s="105"/>
      <c r="C165" s="82"/>
      <c r="D165" s="82"/>
      <c r="E165" s="83"/>
      <c r="F165" s="82"/>
      <c r="G165" s="82"/>
      <c r="H165" s="82"/>
      <c r="I165" s="83"/>
      <c r="J165" s="82"/>
      <c r="K165" s="82"/>
      <c r="L165" s="82"/>
      <c r="M165" s="83"/>
      <c r="N165" s="82"/>
      <c r="O165" s="82"/>
      <c r="P165" s="82"/>
      <c r="Q165" s="83"/>
      <c r="R165" s="82"/>
      <c r="S165" s="82"/>
      <c r="T165" s="82"/>
      <c r="U165" s="83"/>
      <c r="V165" s="82"/>
      <c r="W165" s="82"/>
      <c r="X165" s="82"/>
      <c r="Y165" s="83"/>
      <c r="Z165" s="82"/>
      <c r="AA165" s="82"/>
      <c r="AB165" s="82"/>
      <c r="AC165" s="83"/>
      <c r="AD165" s="82"/>
      <c r="AE165" s="82"/>
      <c r="AF165" s="82"/>
      <c r="AG165" s="83"/>
      <c r="AH165" s="82"/>
      <c r="AI165" s="82"/>
      <c r="AJ165" s="82"/>
      <c r="AK165" s="83"/>
      <c r="AL165" s="82"/>
      <c r="AM165" s="82"/>
      <c r="AN165" s="82"/>
      <c r="AO165" s="82"/>
      <c r="AP165" s="84" t="str">
        <f t="shared" si="2"/>
        <v/>
      </c>
      <c r="AQ165" s="9"/>
      <c r="AR165" s="9"/>
      <c r="AS165" s="8"/>
      <c r="AT165" s="9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8"/>
      <c r="BX165" s="9"/>
      <c r="BY165" s="9"/>
      <c r="BZ165" s="9"/>
      <c r="CA165" s="33"/>
      <c r="CB165" s="85" t="str">
        <f t="shared" si="3"/>
        <v/>
      </c>
      <c r="CC165" s="86" t="str">
        <f t="shared" si="4"/>
        <v/>
      </c>
      <c r="CD165" s="86" t="str">
        <f t="shared" si="5"/>
        <v/>
      </c>
      <c r="CE165" s="86" t="str">
        <f t="shared" si="6"/>
        <v/>
      </c>
      <c r="CF165" s="86" t="str">
        <f t="shared" si="7"/>
        <v/>
      </c>
      <c r="CG165" s="86" t="str">
        <f t="shared" si="8"/>
        <v/>
      </c>
      <c r="CH165" s="86" t="str">
        <f t="shared" si="9"/>
        <v/>
      </c>
      <c r="CI165" s="86" t="str">
        <f t="shared" si="10"/>
        <v/>
      </c>
      <c r="CJ165" s="86" t="str">
        <f t="shared" si="11"/>
        <v/>
      </c>
      <c r="CK165" s="86" t="str">
        <f t="shared" si="12"/>
        <v/>
      </c>
      <c r="CL165" s="86" t="str">
        <f t="shared" si="13"/>
        <v/>
      </c>
      <c r="CM165" s="87" t="str">
        <f t="shared" si="14"/>
        <v/>
      </c>
      <c r="CN165" s="88" t="str">
        <f t="shared" si="26"/>
        <v/>
      </c>
      <c r="CO165" s="88" t="str">
        <f t="shared" si="15"/>
        <v/>
      </c>
      <c r="CP165" s="88" t="str">
        <f t="shared" si="16"/>
        <v/>
      </c>
      <c r="CQ165" s="88" t="str">
        <f t="shared" si="17"/>
        <v/>
      </c>
      <c r="CR165" s="88" t="str">
        <f t="shared" si="18"/>
        <v/>
      </c>
      <c r="CS165" s="88" t="str">
        <f t="shared" si="19"/>
        <v/>
      </c>
      <c r="CT165" s="88" t="str">
        <f t="shared" si="20"/>
        <v/>
      </c>
      <c r="CU165" s="88" t="str">
        <f t="shared" si="21"/>
        <v/>
      </c>
      <c r="CV165" s="88" t="str">
        <f t="shared" si="22"/>
        <v/>
      </c>
      <c r="CW165" s="88" t="str">
        <f t="shared" si="23"/>
        <v/>
      </c>
      <c r="CX165" s="7"/>
      <c r="CY165" s="7"/>
      <c r="CZ165" s="7"/>
      <c r="DA165" s="8"/>
      <c r="DU165" s="104" t="str">
        <f t="shared" si="24"/>
        <v/>
      </c>
      <c r="DV165" s="93" t="str">
        <f>ABA!$A165</f>
        <v/>
      </c>
      <c r="DW165" s="82" t="str">
        <f t="shared" si="25"/>
        <v/>
      </c>
    </row>
    <row r="166" ht="15.75" customHeight="1">
      <c r="A166" s="85"/>
      <c r="B166" s="107"/>
      <c r="C166" s="98"/>
      <c r="D166" s="98"/>
      <c r="E166" s="99"/>
      <c r="F166" s="98"/>
      <c r="G166" s="98"/>
      <c r="H166" s="98"/>
      <c r="I166" s="99"/>
      <c r="J166" s="98"/>
      <c r="K166" s="98"/>
      <c r="L166" s="98"/>
      <c r="M166" s="99"/>
      <c r="N166" s="98"/>
      <c r="O166" s="98"/>
      <c r="P166" s="98"/>
      <c r="Q166" s="99"/>
      <c r="R166" s="98"/>
      <c r="S166" s="98"/>
      <c r="T166" s="98"/>
      <c r="U166" s="99"/>
      <c r="V166" s="98"/>
      <c r="W166" s="98"/>
      <c r="X166" s="98"/>
      <c r="Y166" s="100"/>
      <c r="Z166" s="98"/>
      <c r="AA166" s="98"/>
      <c r="AB166" s="98"/>
      <c r="AC166" s="99"/>
      <c r="AD166" s="98"/>
      <c r="AE166" s="98"/>
      <c r="AF166" s="98"/>
      <c r="AG166" s="99"/>
      <c r="AH166" s="98"/>
      <c r="AI166" s="98"/>
      <c r="AJ166" s="98"/>
      <c r="AK166" s="99"/>
      <c r="AL166" s="98"/>
      <c r="AM166" s="98"/>
      <c r="AN166" s="98"/>
      <c r="AO166" s="98"/>
      <c r="AP166" s="84" t="str">
        <f t="shared" si="2"/>
        <v/>
      </c>
      <c r="AQ166" s="9"/>
      <c r="AR166" s="9"/>
      <c r="AS166" s="8"/>
      <c r="AT166" s="9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8"/>
      <c r="BX166" s="9"/>
      <c r="BY166" s="9"/>
      <c r="BZ166" s="9"/>
      <c r="CA166" s="33"/>
      <c r="CB166" s="85" t="str">
        <f t="shared" si="3"/>
        <v/>
      </c>
      <c r="CC166" s="86" t="str">
        <f t="shared" si="4"/>
        <v/>
      </c>
      <c r="CD166" s="86" t="str">
        <f t="shared" si="5"/>
        <v/>
      </c>
      <c r="CE166" s="86" t="str">
        <f t="shared" si="6"/>
        <v/>
      </c>
      <c r="CF166" s="86" t="str">
        <f t="shared" si="7"/>
        <v/>
      </c>
      <c r="CG166" s="86" t="str">
        <f t="shared" si="8"/>
        <v/>
      </c>
      <c r="CH166" s="86" t="str">
        <f t="shared" si="9"/>
        <v/>
      </c>
      <c r="CI166" s="86" t="str">
        <f t="shared" si="10"/>
        <v/>
      </c>
      <c r="CJ166" s="86" t="str">
        <f t="shared" si="11"/>
        <v/>
      </c>
      <c r="CK166" s="86" t="str">
        <f t="shared" si="12"/>
        <v/>
      </c>
      <c r="CL166" s="86" t="str">
        <f t="shared" si="13"/>
        <v/>
      </c>
      <c r="CM166" s="87" t="str">
        <f t="shared" si="14"/>
        <v/>
      </c>
      <c r="CN166" s="88" t="str">
        <f t="shared" si="26"/>
        <v/>
      </c>
      <c r="CO166" s="88" t="str">
        <f t="shared" si="15"/>
        <v/>
      </c>
      <c r="CP166" s="88" t="str">
        <f t="shared" si="16"/>
        <v/>
      </c>
      <c r="CQ166" s="88" t="str">
        <f t="shared" si="17"/>
        <v/>
      </c>
      <c r="CR166" s="88" t="str">
        <f t="shared" si="18"/>
        <v/>
      </c>
      <c r="CS166" s="88" t="str">
        <f t="shared" si="19"/>
        <v/>
      </c>
      <c r="CT166" s="88" t="str">
        <f t="shared" si="20"/>
        <v/>
      </c>
      <c r="CU166" s="88" t="str">
        <f t="shared" si="21"/>
        <v/>
      </c>
      <c r="CV166" s="88" t="str">
        <f t="shared" si="22"/>
        <v/>
      </c>
      <c r="CW166" s="88" t="str">
        <f t="shared" si="23"/>
        <v/>
      </c>
      <c r="CX166" s="7"/>
      <c r="CY166" s="7"/>
      <c r="CZ166" s="7"/>
      <c r="DA166" s="8"/>
      <c r="DU166" s="93" t="str">
        <f t="shared" si="24"/>
        <v/>
      </c>
      <c r="DV166" s="104" t="str">
        <f>ABA!$A166</f>
        <v/>
      </c>
      <c r="DW166" s="98" t="str">
        <f t="shared" si="25"/>
        <v/>
      </c>
    </row>
    <row r="167" ht="15.75" customHeight="1">
      <c r="A167" s="78"/>
      <c r="B167" s="105"/>
      <c r="C167" s="82"/>
      <c r="D167" s="82"/>
      <c r="E167" s="83"/>
      <c r="F167" s="82"/>
      <c r="G167" s="82"/>
      <c r="H167" s="82"/>
      <c r="I167" s="83"/>
      <c r="J167" s="82"/>
      <c r="K167" s="82"/>
      <c r="L167" s="82"/>
      <c r="M167" s="83"/>
      <c r="N167" s="82"/>
      <c r="O167" s="82"/>
      <c r="P167" s="82"/>
      <c r="Q167" s="83"/>
      <c r="R167" s="82"/>
      <c r="S167" s="82"/>
      <c r="T167" s="82"/>
      <c r="U167" s="83"/>
      <c r="V167" s="82"/>
      <c r="W167" s="82"/>
      <c r="X167" s="82"/>
      <c r="Y167" s="83"/>
      <c r="Z167" s="82"/>
      <c r="AA167" s="82"/>
      <c r="AB167" s="82"/>
      <c r="AC167" s="83"/>
      <c r="AD167" s="82"/>
      <c r="AE167" s="82"/>
      <c r="AF167" s="82"/>
      <c r="AG167" s="83"/>
      <c r="AH167" s="82"/>
      <c r="AI167" s="82"/>
      <c r="AJ167" s="82"/>
      <c r="AK167" s="83"/>
      <c r="AL167" s="82"/>
      <c r="AM167" s="82"/>
      <c r="AN167" s="82"/>
      <c r="AO167" s="82"/>
      <c r="AP167" s="84" t="str">
        <f t="shared" si="2"/>
        <v/>
      </c>
      <c r="AQ167" s="9"/>
      <c r="AR167" s="9"/>
      <c r="AS167" s="8"/>
      <c r="AT167" s="9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8"/>
      <c r="BX167" s="9"/>
      <c r="BY167" s="9"/>
      <c r="BZ167" s="9"/>
      <c r="CA167" s="33"/>
      <c r="CB167" s="85" t="str">
        <f t="shared" si="3"/>
        <v/>
      </c>
      <c r="CC167" s="86" t="str">
        <f t="shared" si="4"/>
        <v/>
      </c>
      <c r="CD167" s="86" t="str">
        <f t="shared" si="5"/>
        <v/>
      </c>
      <c r="CE167" s="86" t="str">
        <f t="shared" si="6"/>
        <v/>
      </c>
      <c r="CF167" s="86" t="str">
        <f t="shared" si="7"/>
        <v/>
      </c>
      <c r="CG167" s="86" t="str">
        <f t="shared" si="8"/>
        <v/>
      </c>
      <c r="CH167" s="86" t="str">
        <f t="shared" si="9"/>
        <v/>
      </c>
      <c r="CI167" s="86" t="str">
        <f t="shared" si="10"/>
        <v/>
      </c>
      <c r="CJ167" s="86" t="str">
        <f t="shared" si="11"/>
        <v/>
      </c>
      <c r="CK167" s="86" t="str">
        <f t="shared" si="12"/>
        <v/>
      </c>
      <c r="CL167" s="86" t="str">
        <f t="shared" si="13"/>
        <v/>
      </c>
      <c r="CM167" s="87" t="str">
        <f t="shared" si="14"/>
        <v/>
      </c>
      <c r="CN167" s="88" t="str">
        <f t="shared" si="26"/>
        <v/>
      </c>
      <c r="CO167" s="88" t="str">
        <f t="shared" si="15"/>
        <v/>
      </c>
      <c r="CP167" s="88" t="str">
        <f t="shared" si="16"/>
        <v/>
      </c>
      <c r="CQ167" s="88" t="str">
        <f t="shared" si="17"/>
        <v/>
      </c>
      <c r="CR167" s="88" t="str">
        <f t="shared" si="18"/>
        <v/>
      </c>
      <c r="CS167" s="88" t="str">
        <f t="shared" si="19"/>
        <v/>
      </c>
      <c r="CT167" s="88" t="str">
        <f t="shared" si="20"/>
        <v/>
      </c>
      <c r="CU167" s="88" t="str">
        <f t="shared" si="21"/>
        <v/>
      </c>
      <c r="CV167" s="88" t="str">
        <f t="shared" si="22"/>
        <v/>
      </c>
      <c r="CW167" s="88" t="str">
        <f t="shared" si="23"/>
        <v/>
      </c>
      <c r="CX167" s="7"/>
      <c r="CY167" s="7"/>
      <c r="CZ167" s="7"/>
      <c r="DA167" s="8"/>
      <c r="DU167" s="104" t="str">
        <f t="shared" si="24"/>
        <v/>
      </c>
      <c r="DV167" s="93" t="str">
        <f>ABA!$A167</f>
        <v/>
      </c>
      <c r="DW167" s="82" t="str">
        <f t="shared" si="25"/>
        <v/>
      </c>
    </row>
    <row r="168" ht="15.75" customHeight="1">
      <c r="A168" s="85"/>
      <c r="B168" s="107"/>
      <c r="C168" s="98"/>
      <c r="D168" s="98"/>
      <c r="E168" s="99"/>
      <c r="F168" s="98"/>
      <c r="G168" s="98"/>
      <c r="H168" s="98"/>
      <c r="I168" s="99"/>
      <c r="J168" s="98"/>
      <c r="K168" s="98"/>
      <c r="L168" s="98"/>
      <c r="M168" s="99"/>
      <c r="N168" s="98"/>
      <c r="O168" s="98"/>
      <c r="P168" s="98"/>
      <c r="Q168" s="99"/>
      <c r="R168" s="98"/>
      <c r="S168" s="98"/>
      <c r="T168" s="98"/>
      <c r="U168" s="99"/>
      <c r="V168" s="98"/>
      <c r="W168" s="98"/>
      <c r="X168" s="98"/>
      <c r="Y168" s="100"/>
      <c r="Z168" s="98"/>
      <c r="AA168" s="98"/>
      <c r="AB168" s="98"/>
      <c r="AC168" s="99"/>
      <c r="AD168" s="98"/>
      <c r="AE168" s="98"/>
      <c r="AF168" s="98"/>
      <c r="AG168" s="99"/>
      <c r="AH168" s="98"/>
      <c r="AI168" s="98"/>
      <c r="AJ168" s="98"/>
      <c r="AK168" s="99"/>
      <c r="AL168" s="98"/>
      <c r="AM168" s="98"/>
      <c r="AN168" s="98"/>
      <c r="AO168" s="98"/>
      <c r="AP168" s="84" t="str">
        <f t="shared" si="2"/>
        <v/>
      </c>
      <c r="AQ168" s="9"/>
      <c r="AR168" s="9"/>
      <c r="AS168" s="8"/>
      <c r="AT168" s="9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8"/>
      <c r="BX168" s="9"/>
      <c r="BY168" s="9"/>
      <c r="BZ168" s="9"/>
      <c r="CA168" s="33"/>
      <c r="CB168" s="85" t="str">
        <f t="shared" si="3"/>
        <v/>
      </c>
      <c r="CC168" s="86" t="str">
        <f t="shared" si="4"/>
        <v/>
      </c>
      <c r="CD168" s="86" t="str">
        <f t="shared" si="5"/>
        <v/>
      </c>
      <c r="CE168" s="86" t="str">
        <f t="shared" si="6"/>
        <v/>
      </c>
      <c r="CF168" s="86" t="str">
        <f t="shared" si="7"/>
        <v/>
      </c>
      <c r="CG168" s="86" t="str">
        <f t="shared" si="8"/>
        <v/>
      </c>
      <c r="CH168" s="86" t="str">
        <f t="shared" si="9"/>
        <v/>
      </c>
      <c r="CI168" s="86" t="str">
        <f t="shared" si="10"/>
        <v/>
      </c>
      <c r="CJ168" s="86" t="str">
        <f t="shared" si="11"/>
        <v/>
      </c>
      <c r="CK168" s="86" t="str">
        <f t="shared" si="12"/>
        <v/>
      </c>
      <c r="CL168" s="86" t="str">
        <f t="shared" si="13"/>
        <v/>
      </c>
      <c r="CM168" s="87" t="str">
        <f t="shared" si="14"/>
        <v/>
      </c>
      <c r="CN168" s="88" t="str">
        <f t="shared" si="26"/>
        <v/>
      </c>
      <c r="CO168" s="88" t="str">
        <f t="shared" si="15"/>
        <v/>
      </c>
      <c r="CP168" s="88" t="str">
        <f t="shared" si="16"/>
        <v/>
      </c>
      <c r="CQ168" s="88" t="str">
        <f t="shared" si="17"/>
        <v/>
      </c>
      <c r="CR168" s="88" t="str">
        <f t="shared" si="18"/>
        <v/>
      </c>
      <c r="CS168" s="88" t="str">
        <f t="shared" si="19"/>
        <v/>
      </c>
      <c r="CT168" s="88" t="str">
        <f t="shared" si="20"/>
        <v/>
      </c>
      <c r="CU168" s="88" t="str">
        <f t="shared" si="21"/>
        <v/>
      </c>
      <c r="CV168" s="88" t="str">
        <f t="shared" si="22"/>
        <v/>
      </c>
      <c r="CW168" s="88" t="str">
        <f t="shared" si="23"/>
        <v/>
      </c>
      <c r="CX168" s="7"/>
      <c r="CY168" s="7"/>
      <c r="CZ168" s="7"/>
      <c r="DA168" s="8"/>
      <c r="DU168" s="93" t="str">
        <f t="shared" si="24"/>
        <v/>
      </c>
      <c r="DV168" s="104" t="str">
        <f>ABA!$A168</f>
        <v/>
      </c>
      <c r="DW168" s="98" t="str">
        <f t="shared" si="25"/>
        <v/>
      </c>
    </row>
    <row r="169" ht="15.75" customHeight="1">
      <c r="A169" s="78"/>
      <c r="B169" s="105"/>
      <c r="C169" s="82"/>
      <c r="D169" s="82"/>
      <c r="E169" s="83"/>
      <c r="F169" s="82"/>
      <c r="G169" s="82"/>
      <c r="H169" s="82"/>
      <c r="I169" s="83"/>
      <c r="J169" s="82"/>
      <c r="K169" s="82"/>
      <c r="L169" s="82"/>
      <c r="M169" s="83"/>
      <c r="N169" s="82"/>
      <c r="O169" s="82"/>
      <c r="P169" s="82"/>
      <c r="Q169" s="83"/>
      <c r="R169" s="82"/>
      <c r="S169" s="82"/>
      <c r="T169" s="82"/>
      <c r="U169" s="83"/>
      <c r="V169" s="82"/>
      <c r="W169" s="82"/>
      <c r="X169" s="82"/>
      <c r="Y169" s="83"/>
      <c r="Z169" s="82"/>
      <c r="AA169" s="82"/>
      <c r="AB169" s="82"/>
      <c r="AC169" s="83"/>
      <c r="AD169" s="82"/>
      <c r="AE169" s="82"/>
      <c r="AF169" s="82"/>
      <c r="AG169" s="83"/>
      <c r="AH169" s="82"/>
      <c r="AI169" s="82"/>
      <c r="AJ169" s="82"/>
      <c r="AK169" s="83"/>
      <c r="AL169" s="82"/>
      <c r="AM169" s="82"/>
      <c r="AN169" s="82"/>
      <c r="AO169" s="82"/>
      <c r="AP169" s="84" t="str">
        <f t="shared" si="2"/>
        <v/>
      </c>
      <c r="AQ169" s="9"/>
      <c r="AR169" s="9"/>
      <c r="AS169" s="8"/>
      <c r="AT169" s="9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8"/>
      <c r="BX169" s="9"/>
      <c r="BY169" s="9"/>
      <c r="BZ169" s="9"/>
      <c r="CA169" s="33"/>
      <c r="CB169" s="85" t="str">
        <f t="shared" si="3"/>
        <v/>
      </c>
      <c r="CC169" s="86" t="str">
        <f t="shared" si="4"/>
        <v/>
      </c>
      <c r="CD169" s="86" t="str">
        <f t="shared" si="5"/>
        <v/>
      </c>
      <c r="CE169" s="86" t="str">
        <f t="shared" si="6"/>
        <v/>
      </c>
      <c r="CF169" s="86" t="str">
        <f t="shared" si="7"/>
        <v/>
      </c>
      <c r="CG169" s="86" t="str">
        <f t="shared" si="8"/>
        <v/>
      </c>
      <c r="CH169" s="86" t="str">
        <f t="shared" si="9"/>
        <v/>
      </c>
      <c r="CI169" s="86" t="str">
        <f t="shared" si="10"/>
        <v/>
      </c>
      <c r="CJ169" s="86" t="str">
        <f t="shared" si="11"/>
        <v/>
      </c>
      <c r="CK169" s="86" t="str">
        <f t="shared" si="12"/>
        <v/>
      </c>
      <c r="CL169" s="86" t="str">
        <f t="shared" si="13"/>
        <v/>
      </c>
      <c r="CM169" s="87" t="str">
        <f t="shared" si="14"/>
        <v/>
      </c>
      <c r="CN169" s="88" t="str">
        <f t="shared" si="26"/>
        <v/>
      </c>
      <c r="CO169" s="88" t="str">
        <f t="shared" si="15"/>
        <v/>
      </c>
      <c r="CP169" s="88" t="str">
        <f t="shared" si="16"/>
        <v/>
      </c>
      <c r="CQ169" s="88" t="str">
        <f t="shared" si="17"/>
        <v/>
      </c>
      <c r="CR169" s="88" t="str">
        <f t="shared" si="18"/>
        <v/>
      </c>
      <c r="CS169" s="88" t="str">
        <f t="shared" si="19"/>
        <v/>
      </c>
      <c r="CT169" s="88" t="str">
        <f t="shared" si="20"/>
        <v/>
      </c>
      <c r="CU169" s="88" t="str">
        <f t="shared" si="21"/>
        <v/>
      </c>
      <c r="CV169" s="88" t="str">
        <f t="shared" si="22"/>
        <v/>
      </c>
      <c r="CW169" s="88" t="str">
        <f t="shared" si="23"/>
        <v/>
      </c>
      <c r="CX169" s="7"/>
      <c r="CY169" s="7"/>
      <c r="CZ169" s="7"/>
      <c r="DA169" s="8"/>
      <c r="DU169" s="104" t="str">
        <f t="shared" si="24"/>
        <v/>
      </c>
      <c r="DV169" s="93" t="str">
        <f>ABA!$A169</f>
        <v/>
      </c>
      <c r="DW169" s="82" t="str">
        <f t="shared" si="25"/>
        <v/>
      </c>
    </row>
    <row r="170" ht="15.75" customHeight="1">
      <c r="A170" s="85"/>
      <c r="B170" s="107"/>
      <c r="C170" s="98"/>
      <c r="D170" s="98"/>
      <c r="E170" s="99"/>
      <c r="F170" s="98"/>
      <c r="G170" s="98"/>
      <c r="H170" s="98"/>
      <c r="I170" s="99"/>
      <c r="J170" s="98"/>
      <c r="K170" s="98"/>
      <c r="L170" s="98"/>
      <c r="M170" s="99"/>
      <c r="N170" s="98"/>
      <c r="O170" s="98"/>
      <c r="P170" s="98"/>
      <c r="Q170" s="99"/>
      <c r="R170" s="98"/>
      <c r="S170" s="98"/>
      <c r="T170" s="98"/>
      <c r="U170" s="99"/>
      <c r="V170" s="98"/>
      <c r="W170" s="98"/>
      <c r="X170" s="98"/>
      <c r="Y170" s="100"/>
      <c r="Z170" s="98"/>
      <c r="AA170" s="98"/>
      <c r="AB170" s="98"/>
      <c r="AC170" s="99"/>
      <c r="AD170" s="98"/>
      <c r="AE170" s="98"/>
      <c r="AF170" s="98"/>
      <c r="AG170" s="99"/>
      <c r="AH170" s="98"/>
      <c r="AI170" s="98"/>
      <c r="AJ170" s="98"/>
      <c r="AK170" s="99"/>
      <c r="AL170" s="98"/>
      <c r="AM170" s="98"/>
      <c r="AN170" s="98"/>
      <c r="AO170" s="98"/>
      <c r="AP170" s="84" t="str">
        <f t="shared" si="2"/>
        <v/>
      </c>
      <c r="AQ170" s="9"/>
      <c r="AR170" s="9"/>
      <c r="AS170" s="8"/>
      <c r="AT170" s="9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8"/>
      <c r="BX170" s="9"/>
      <c r="BY170" s="9"/>
      <c r="BZ170" s="9"/>
      <c r="CA170" s="33"/>
      <c r="CB170" s="85" t="str">
        <f t="shared" si="3"/>
        <v/>
      </c>
      <c r="CC170" s="86" t="str">
        <f t="shared" si="4"/>
        <v/>
      </c>
      <c r="CD170" s="86" t="str">
        <f t="shared" si="5"/>
        <v/>
      </c>
      <c r="CE170" s="86" t="str">
        <f t="shared" si="6"/>
        <v/>
      </c>
      <c r="CF170" s="86" t="str">
        <f t="shared" si="7"/>
        <v/>
      </c>
      <c r="CG170" s="86" t="str">
        <f t="shared" si="8"/>
        <v/>
      </c>
      <c r="CH170" s="86" t="str">
        <f t="shared" si="9"/>
        <v/>
      </c>
      <c r="CI170" s="86" t="str">
        <f t="shared" si="10"/>
        <v/>
      </c>
      <c r="CJ170" s="86" t="str">
        <f t="shared" si="11"/>
        <v/>
      </c>
      <c r="CK170" s="86" t="str">
        <f t="shared" si="12"/>
        <v/>
      </c>
      <c r="CL170" s="86" t="str">
        <f t="shared" si="13"/>
        <v/>
      </c>
      <c r="CM170" s="87" t="str">
        <f t="shared" si="14"/>
        <v/>
      </c>
      <c r="CN170" s="88" t="str">
        <f t="shared" si="26"/>
        <v/>
      </c>
      <c r="CO170" s="88" t="str">
        <f t="shared" si="15"/>
        <v/>
      </c>
      <c r="CP170" s="88" t="str">
        <f t="shared" si="16"/>
        <v/>
      </c>
      <c r="CQ170" s="88" t="str">
        <f t="shared" si="17"/>
        <v/>
      </c>
      <c r="CR170" s="88" t="str">
        <f t="shared" si="18"/>
        <v/>
      </c>
      <c r="CS170" s="88" t="str">
        <f t="shared" si="19"/>
        <v/>
      </c>
      <c r="CT170" s="88" t="str">
        <f t="shared" si="20"/>
        <v/>
      </c>
      <c r="CU170" s="88" t="str">
        <f t="shared" si="21"/>
        <v/>
      </c>
      <c r="CV170" s="88" t="str">
        <f t="shared" si="22"/>
        <v/>
      </c>
      <c r="CW170" s="88" t="str">
        <f t="shared" si="23"/>
        <v/>
      </c>
      <c r="CX170" s="7"/>
      <c r="CY170" s="7"/>
      <c r="CZ170" s="7"/>
      <c r="DA170" s="8"/>
      <c r="DU170" s="93" t="str">
        <f t="shared" si="24"/>
        <v/>
      </c>
      <c r="DV170" s="104" t="str">
        <f>ABA!$A170</f>
        <v/>
      </c>
      <c r="DW170" s="98" t="str">
        <f t="shared" si="25"/>
        <v/>
      </c>
    </row>
    <row r="171" ht="15.75" customHeight="1">
      <c r="A171" s="78"/>
      <c r="B171" s="105"/>
      <c r="C171" s="82"/>
      <c r="D171" s="82"/>
      <c r="E171" s="83"/>
      <c r="F171" s="82"/>
      <c r="G171" s="82"/>
      <c r="H171" s="82"/>
      <c r="I171" s="83"/>
      <c r="J171" s="82"/>
      <c r="K171" s="82"/>
      <c r="L171" s="82"/>
      <c r="M171" s="83"/>
      <c r="N171" s="82"/>
      <c r="O171" s="82"/>
      <c r="P171" s="82"/>
      <c r="Q171" s="83"/>
      <c r="R171" s="82"/>
      <c r="S171" s="82"/>
      <c r="T171" s="82"/>
      <c r="U171" s="83"/>
      <c r="V171" s="82"/>
      <c r="W171" s="82"/>
      <c r="X171" s="82"/>
      <c r="Y171" s="83"/>
      <c r="Z171" s="82"/>
      <c r="AA171" s="82"/>
      <c r="AB171" s="82"/>
      <c r="AC171" s="83"/>
      <c r="AD171" s="82"/>
      <c r="AE171" s="82"/>
      <c r="AF171" s="82"/>
      <c r="AG171" s="83"/>
      <c r="AH171" s="82"/>
      <c r="AI171" s="82"/>
      <c r="AJ171" s="82"/>
      <c r="AK171" s="83"/>
      <c r="AL171" s="82"/>
      <c r="AM171" s="82"/>
      <c r="AN171" s="82"/>
      <c r="AO171" s="82"/>
      <c r="AP171" s="84" t="str">
        <f t="shared" si="2"/>
        <v/>
      </c>
      <c r="AQ171" s="9"/>
      <c r="AR171" s="9"/>
      <c r="AS171" s="8"/>
      <c r="AT171" s="9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8"/>
      <c r="BX171" s="9"/>
      <c r="BY171" s="9"/>
      <c r="BZ171" s="9"/>
      <c r="CA171" s="33"/>
      <c r="CB171" s="85" t="str">
        <f t="shared" si="3"/>
        <v/>
      </c>
      <c r="CC171" s="86" t="str">
        <f t="shared" si="4"/>
        <v/>
      </c>
      <c r="CD171" s="86" t="str">
        <f t="shared" si="5"/>
        <v/>
      </c>
      <c r="CE171" s="86" t="str">
        <f t="shared" si="6"/>
        <v/>
      </c>
      <c r="CF171" s="86" t="str">
        <f t="shared" si="7"/>
        <v/>
      </c>
      <c r="CG171" s="86" t="str">
        <f t="shared" si="8"/>
        <v/>
      </c>
      <c r="CH171" s="86" t="str">
        <f t="shared" si="9"/>
        <v/>
      </c>
      <c r="CI171" s="86" t="str">
        <f t="shared" si="10"/>
        <v/>
      </c>
      <c r="CJ171" s="86" t="str">
        <f t="shared" si="11"/>
        <v/>
      </c>
      <c r="CK171" s="86" t="str">
        <f t="shared" si="12"/>
        <v/>
      </c>
      <c r="CL171" s="86" t="str">
        <f t="shared" si="13"/>
        <v/>
      </c>
      <c r="CM171" s="87" t="str">
        <f t="shared" si="14"/>
        <v/>
      </c>
      <c r="CN171" s="88" t="str">
        <f t="shared" si="26"/>
        <v/>
      </c>
      <c r="CO171" s="88" t="str">
        <f t="shared" si="15"/>
        <v/>
      </c>
      <c r="CP171" s="88" t="str">
        <f t="shared" si="16"/>
        <v/>
      </c>
      <c r="CQ171" s="88" t="str">
        <f t="shared" si="17"/>
        <v/>
      </c>
      <c r="CR171" s="88" t="str">
        <f t="shared" si="18"/>
        <v/>
      </c>
      <c r="CS171" s="88" t="str">
        <f t="shared" si="19"/>
        <v/>
      </c>
      <c r="CT171" s="88" t="str">
        <f t="shared" si="20"/>
        <v/>
      </c>
      <c r="CU171" s="88" t="str">
        <f t="shared" si="21"/>
        <v/>
      </c>
      <c r="CV171" s="88" t="str">
        <f t="shared" si="22"/>
        <v/>
      </c>
      <c r="CW171" s="88" t="str">
        <f t="shared" si="23"/>
        <v/>
      </c>
      <c r="CX171" s="7"/>
      <c r="CY171" s="7"/>
      <c r="CZ171" s="7"/>
      <c r="DA171" s="8"/>
      <c r="DU171" s="104" t="str">
        <f t="shared" si="24"/>
        <v/>
      </c>
      <c r="DV171" s="93" t="str">
        <f>ABA!$A171</f>
        <v/>
      </c>
      <c r="DW171" s="82" t="str">
        <f t="shared" si="25"/>
        <v/>
      </c>
    </row>
    <row r="172" ht="15.75" customHeight="1">
      <c r="A172" s="85"/>
      <c r="B172" s="107"/>
      <c r="C172" s="98"/>
      <c r="D172" s="98"/>
      <c r="E172" s="99"/>
      <c r="F172" s="98"/>
      <c r="G172" s="98"/>
      <c r="H172" s="98"/>
      <c r="I172" s="99"/>
      <c r="J172" s="98"/>
      <c r="K172" s="98"/>
      <c r="L172" s="98"/>
      <c r="M172" s="99"/>
      <c r="N172" s="98"/>
      <c r="O172" s="98"/>
      <c r="P172" s="98"/>
      <c r="Q172" s="99"/>
      <c r="R172" s="98"/>
      <c r="S172" s="98"/>
      <c r="T172" s="98"/>
      <c r="U172" s="99"/>
      <c r="V172" s="98"/>
      <c r="W172" s="98"/>
      <c r="X172" s="98"/>
      <c r="Y172" s="100"/>
      <c r="Z172" s="98"/>
      <c r="AA172" s="98"/>
      <c r="AB172" s="98"/>
      <c r="AC172" s="99"/>
      <c r="AD172" s="98"/>
      <c r="AE172" s="98"/>
      <c r="AF172" s="98"/>
      <c r="AG172" s="99"/>
      <c r="AH172" s="98"/>
      <c r="AI172" s="98"/>
      <c r="AJ172" s="98"/>
      <c r="AK172" s="99"/>
      <c r="AL172" s="98"/>
      <c r="AM172" s="98"/>
      <c r="AN172" s="98"/>
      <c r="AO172" s="98"/>
      <c r="AP172" s="84" t="str">
        <f t="shared" si="2"/>
        <v/>
      </c>
      <c r="AQ172" s="9"/>
      <c r="AR172" s="9"/>
      <c r="AS172" s="8"/>
      <c r="AT172" s="9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8"/>
      <c r="BX172" s="9"/>
      <c r="BY172" s="9"/>
      <c r="BZ172" s="9"/>
      <c r="CA172" s="33"/>
      <c r="CB172" s="85" t="str">
        <f t="shared" si="3"/>
        <v/>
      </c>
      <c r="CC172" s="86" t="str">
        <f t="shared" si="4"/>
        <v/>
      </c>
      <c r="CD172" s="86" t="str">
        <f t="shared" si="5"/>
        <v/>
      </c>
      <c r="CE172" s="86" t="str">
        <f t="shared" si="6"/>
        <v/>
      </c>
      <c r="CF172" s="86" t="str">
        <f t="shared" si="7"/>
        <v/>
      </c>
      <c r="CG172" s="86" t="str">
        <f t="shared" si="8"/>
        <v/>
      </c>
      <c r="CH172" s="86" t="str">
        <f t="shared" si="9"/>
        <v/>
      </c>
      <c r="CI172" s="86" t="str">
        <f t="shared" si="10"/>
        <v/>
      </c>
      <c r="CJ172" s="86" t="str">
        <f t="shared" si="11"/>
        <v/>
      </c>
      <c r="CK172" s="86" t="str">
        <f t="shared" si="12"/>
        <v/>
      </c>
      <c r="CL172" s="86" t="str">
        <f t="shared" si="13"/>
        <v/>
      </c>
      <c r="CM172" s="87" t="str">
        <f t="shared" si="14"/>
        <v/>
      </c>
      <c r="CN172" s="88" t="str">
        <f t="shared" si="26"/>
        <v/>
      </c>
      <c r="CO172" s="88" t="str">
        <f t="shared" si="15"/>
        <v/>
      </c>
      <c r="CP172" s="88" t="str">
        <f t="shared" si="16"/>
        <v/>
      </c>
      <c r="CQ172" s="88" t="str">
        <f t="shared" si="17"/>
        <v/>
      </c>
      <c r="CR172" s="88" t="str">
        <f t="shared" si="18"/>
        <v/>
      </c>
      <c r="CS172" s="88" t="str">
        <f t="shared" si="19"/>
        <v/>
      </c>
      <c r="CT172" s="88" t="str">
        <f t="shared" si="20"/>
        <v/>
      </c>
      <c r="CU172" s="88" t="str">
        <f t="shared" si="21"/>
        <v/>
      </c>
      <c r="CV172" s="88" t="str">
        <f t="shared" si="22"/>
        <v/>
      </c>
      <c r="CW172" s="88" t="str">
        <f t="shared" si="23"/>
        <v/>
      </c>
      <c r="CX172" s="7"/>
      <c r="CY172" s="7"/>
      <c r="CZ172" s="7"/>
      <c r="DA172" s="8"/>
      <c r="DU172" s="93" t="str">
        <f t="shared" si="24"/>
        <v/>
      </c>
      <c r="DV172" s="104" t="str">
        <f>ABA!$A172</f>
        <v/>
      </c>
      <c r="DW172" s="98" t="str">
        <f t="shared" si="25"/>
        <v/>
      </c>
    </row>
    <row r="173" ht="15.75" customHeight="1">
      <c r="A173" s="78"/>
      <c r="B173" s="105"/>
      <c r="C173" s="82"/>
      <c r="D173" s="82"/>
      <c r="E173" s="83"/>
      <c r="F173" s="82"/>
      <c r="G173" s="82"/>
      <c r="H173" s="82"/>
      <c r="I173" s="83"/>
      <c r="J173" s="82"/>
      <c r="K173" s="82"/>
      <c r="L173" s="82"/>
      <c r="M173" s="83"/>
      <c r="N173" s="82"/>
      <c r="O173" s="82"/>
      <c r="P173" s="82"/>
      <c r="Q173" s="83"/>
      <c r="R173" s="82"/>
      <c r="S173" s="82"/>
      <c r="T173" s="82"/>
      <c r="U173" s="83"/>
      <c r="V173" s="82"/>
      <c r="W173" s="82"/>
      <c r="X173" s="82"/>
      <c r="Y173" s="83"/>
      <c r="Z173" s="82"/>
      <c r="AA173" s="82"/>
      <c r="AB173" s="82"/>
      <c r="AC173" s="83"/>
      <c r="AD173" s="82"/>
      <c r="AE173" s="82"/>
      <c r="AF173" s="82"/>
      <c r="AG173" s="83"/>
      <c r="AH173" s="82"/>
      <c r="AI173" s="82"/>
      <c r="AJ173" s="82"/>
      <c r="AK173" s="83"/>
      <c r="AL173" s="82"/>
      <c r="AM173" s="82"/>
      <c r="AN173" s="82"/>
      <c r="AO173" s="82"/>
      <c r="AP173" s="84" t="str">
        <f t="shared" si="2"/>
        <v/>
      </c>
      <c r="AQ173" s="9"/>
      <c r="AR173" s="9"/>
      <c r="AS173" s="8"/>
      <c r="AT173" s="9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8"/>
      <c r="BX173" s="9"/>
      <c r="BY173" s="9"/>
      <c r="BZ173" s="9"/>
      <c r="CA173" s="33"/>
      <c r="CB173" s="85" t="str">
        <f t="shared" si="3"/>
        <v/>
      </c>
      <c r="CC173" s="86" t="str">
        <f t="shared" si="4"/>
        <v/>
      </c>
      <c r="CD173" s="86" t="str">
        <f t="shared" si="5"/>
        <v/>
      </c>
      <c r="CE173" s="86" t="str">
        <f t="shared" si="6"/>
        <v/>
      </c>
      <c r="CF173" s="86" t="str">
        <f t="shared" si="7"/>
        <v/>
      </c>
      <c r="CG173" s="86" t="str">
        <f t="shared" si="8"/>
        <v/>
      </c>
      <c r="CH173" s="86" t="str">
        <f t="shared" si="9"/>
        <v/>
      </c>
      <c r="CI173" s="86" t="str">
        <f t="shared" si="10"/>
        <v/>
      </c>
      <c r="CJ173" s="86" t="str">
        <f t="shared" si="11"/>
        <v/>
      </c>
      <c r="CK173" s="86" t="str">
        <f t="shared" si="12"/>
        <v/>
      </c>
      <c r="CL173" s="86" t="str">
        <f t="shared" si="13"/>
        <v/>
      </c>
      <c r="CM173" s="87" t="str">
        <f t="shared" si="14"/>
        <v/>
      </c>
      <c r="CN173" s="88" t="str">
        <f t="shared" si="26"/>
        <v/>
      </c>
      <c r="CO173" s="88" t="str">
        <f t="shared" si="15"/>
        <v/>
      </c>
      <c r="CP173" s="88" t="str">
        <f t="shared" si="16"/>
        <v/>
      </c>
      <c r="CQ173" s="88" t="str">
        <f t="shared" si="17"/>
        <v/>
      </c>
      <c r="CR173" s="88" t="str">
        <f t="shared" si="18"/>
        <v/>
      </c>
      <c r="CS173" s="88" t="str">
        <f t="shared" si="19"/>
        <v/>
      </c>
      <c r="CT173" s="88" t="str">
        <f t="shared" si="20"/>
        <v/>
      </c>
      <c r="CU173" s="88" t="str">
        <f t="shared" si="21"/>
        <v/>
      </c>
      <c r="CV173" s="88" t="str">
        <f t="shared" si="22"/>
        <v/>
      </c>
      <c r="CW173" s="88" t="str">
        <f t="shared" si="23"/>
        <v/>
      </c>
      <c r="CX173" s="7"/>
      <c r="CY173" s="7"/>
      <c r="CZ173" s="7"/>
      <c r="DA173" s="8"/>
      <c r="DU173" s="104" t="str">
        <f t="shared" si="24"/>
        <v/>
      </c>
      <c r="DV173" s="93" t="str">
        <f>ABA!$A173</f>
        <v/>
      </c>
      <c r="DW173" s="82" t="str">
        <f t="shared" si="25"/>
        <v/>
      </c>
    </row>
    <row r="174" ht="15.75" customHeight="1">
      <c r="A174" s="85"/>
      <c r="B174" s="107"/>
      <c r="C174" s="98"/>
      <c r="D174" s="98"/>
      <c r="E174" s="99"/>
      <c r="F174" s="98"/>
      <c r="G174" s="98"/>
      <c r="H174" s="98"/>
      <c r="I174" s="99"/>
      <c r="J174" s="98"/>
      <c r="K174" s="98"/>
      <c r="L174" s="98"/>
      <c r="M174" s="99"/>
      <c r="N174" s="98"/>
      <c r="O174" s="98"/>
      <c r="P174" s="98"/>
      <c r="Q174" s="99"/>
      <c r="R174" s="98"/>
      <c r="S174" s="98"/>
      <c r="T174" s="98"/>
      <c r="U174" s="99"/>
      <c r="V174" s="98"/>
      <c r="W174" s="98"/>
      <c r="X174" s="98"/>
      <c r="Y174" s="100"/>
      <c r="Z174" s="98"/>
      <c r="AA174" s="98"/>
      <c r="AB174" s="98"/>
      <c r="AC174" s="99"/>
      <c r="AD174" s="98"/>
      <c r="AE174" s="98"/>
      <c r="AF174" s="98"/>
      <c r="AG174" s="99"/>
      <c r="AH174" s="98"/>
      <c r="AI174" s="98"/>
      <c r="AJ174" s="98"/>
      <c r="AK174" s="99"/>
      <c r="AL174" s="98"/>
      <c r="AM174" s="98"/>
      <c r="AN174" s="98"/>
      <c r="AO174" s="98"/>
      <c r="AP174" s="84" t="str">
        <f t="shared" si="2"/>
        <v/>
      </c>
      <c r="AQ174" s="9"/>
      <c r="AR174" s="9"/>
      <c r="AS174" s="8"/>
      <c r="AT174" s="9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8"/>
      <c r="BX174" s="9"/>
      <c r="BY174" s="9"/>
      <c r="BZ174" s="9"/>
      <c r="CA174" s="33"/>
      <c r="CB174" s="85" t="str">
        <f t="shared" si="3"/>
        <v/>
      </c>
      <c r="CC174" s="86" t="str">
        <f t="shared" si="4"/>
        <v/>
      </c>
      <c r="CD174" s="86" t="str">
        <f t="shared" si="5"/>
        <v/>
      </c>
      <c r="CE174" s="86" t="str">
        <f t="shared" si="6"/>
        <v/>
      </c>
      <c r="CF174" s="86" t="str">
        <f t="shared" si="7"/>
        <v/>
      </c>
      <c r="CG174" s="86" t="str">
        <f t="shared" si="8"/>
        <v/>
      </c>
      <c r="CH174" s="86" t="str">
        <f t="shared" si="9"/>
        <v/>
      </c>
      <c r="CI174" s="86" t="str">
        <f t="shared" si="10"/>
        <v/>
      </c>
      <c r="CJ174" s="86" t="str">
        <f t="shared" si="11"/>
        <v/>
      </c>
      <c r="CK174" s="86" t="str">
        <f t="shared" si="12"/>
        <v/>
      </c>
      <c r="CL174" s="86" t="str">
        <f t="shared" si="13"/>
        <v/>
      </c>
      <c r="CM174" s="87" t="str">
        <f t="shared" si="14"/>
        <v/>
      </c>
      <c r="CN174" s="88" t="str">
        <f t="shared" si="26"/>
        <v/>
      </c>
      <c r="CO174" s="88" t="str">
        <f t="shared" si="15"/>
        <v/>
      </c>
      <c r="CP174" s="88" t="str">
        <f t="shared" si="16"/>
        <v/>
      </c>
      <c r="CQ174" s="88" t="str">
        <f t="shared" si="17"/>
        <v/>
      </c>
      <c r="CR174" s="88" t="str">
        <f t="shared" si="18"/>
        <v/>
      </c>
      <c r="CS174" s="88" t="str">
        <f t="shared" si="19"/>
        <v/>
      </c>
      <c r="CT174" s="88" t="str">
        <f t="shared" si="20"/>
        <v/>
      </c>
      <c r="CU174" s="88" t="str">
        <f t="shared" si="21"/>
        <v/>
      </c>
      <c r="CV174" s="88" t="str">
        <f t="shared" si="22"/>
        <v/>
      </c>
      <c r="CW174" s="88" t="str">
        <f t="shared" si="23"/>
        <v/>
      </c>
      <c r="CX174" s="7"/>
      <c r="CY174" s="7"/>
      <c r="CZ174" s="7"/>
      <c r="DA174" s="8"/>
      <c r="DU174" s="93" t="str">
        <f t="shared" si="24"/>
        <v/>
      </c>
      <c r="DV174" s="104" t="str">
        <f>ABA!$A174</f>
        <v/>
      </c>
      <c r="DW174" s="98" t="str">
        <f t="shared" si="25"/>
        <v/>
      </c>
    </row>
    <row r="175" ht="15.75" customHeight="1">
      <c r="A175" s="78"/>
      <c r="B175" s="105"/>
      <c r="C175" s="82"/>
      <c r="D175" s="82"/>
      <c r="E175" s="83"/>
      <c r="F175" s="82"/>
      <c r="G175" s="82"/>
      <c r="H175" s="82"/>
      <c r="I175" s="83"/>
      <c r="J175" s="82"/>
      <c r="K175" s="82"/>
      <c r="L175" s="82"/>
      <c r="M175" s="83"/>
      <c r="N175" s="82"/>
      <c r="O175" s="82"/>
      <c r="P175" s="82"/>
      <c r="Q175" s="83"/>
      <c r="R175" s="82"/>
      <c r="S175" s="82"/>
      <c r="T175" s="82"/>
      <c r="U175" s="83"/>
      <c r="V175" s="82"/>
      <c r="W175" s="82"/>
      <c r="X175" s="82"/>
      <c r="Y175" s="83"/>
      <c r="Z175" s="82"/>
      <c r="AA175" s="82"/>
      <c r="AB175" s="82"/>
      <c r="AC175" s="83"/>
      <c r="AD175" s="82"/>
      <c r="AE175" s="82"/>
      <c r="AF175" s="82"/>
      <c r="AG175" s="83"/>
      <c r="AH175" s="82"/>
      <c r="AI175" s="82"/>
      <c r="AJ175" s="82"/>
      <c r="AK175" s="83"/>
      <c r="AL175" s="82"/>
      <c r="AM175" s="82"/>
      <c r="AN175" s="82"/>
      <c r="AO175" s="82"/>
      <c r="AP175" s="84" t="str">
        <f t="shared" si="2"/>
        <v/>
      </c>
      <c r="AQ175" s="9"/>
      <c r="AR175" s="9"/>
      <c r="AS175" s="8"/>
      <c r="AT175" s="9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8"/>
      <c r="BX175" s="9"/>
      <c r="BY175" s="9"/>
      <c r="BZ175" s="9"/>
      <c r="CA175" s="33"/>
      <c r="CB175" s="85" t="str">
        <f t="shared" si="3"/>
        <v/>
      </c>
      <c r="CC175" s="86" t="str">
        <f t="shared" si="4"/>
        <v/>
      </c>
      <c r="CD175" s="86" t="str">
        <f t="shared" si="5"/>
        <v/>
      </c>
      <c r="CE175" s="86" t="str">
        <f t="shared" si="6"/>
        <v/>
      </c>
      <c r="CF175" s="86" t="str">
        <f t="shared" si="7"/>
        <v/>
      </c>
      <c r="CG175" s="86" t="str">
        <f t="shared" si="8"/>
        <v/>
      </c>
      <c r="CH175" s="86" t="str">
        <f t="shared" si="9"/>
        <v/>
      </c>
      <c r="CI175" s="86" t="str">
        <f t="shared" si="10"/>
        <v/>
      </c>
      <c r="CJ175" s="86" t="str">
        <f t="shared" si="11"/>
        <v/>
      </c>
      <c r="CK175" s="86" t="str">
        <f t="shared" si="12"/>
        <v/>
      </c>
      <c r="CL175" s="86" t="str">
        <f t="shared" si="13"/>
        <v/>
      </c>
      <c r="CM175" s="87" t="str">
        <f t="shared" si="14"/>
        <v/>
      </c>
      <c r="CN175" s="88" t="str">
        <f t="shared" si="26"/>
        <v/>
      </c>
      <c r="CO175" s="88" t="str">
        <f t="shared" si="15"/>
        <v/>
      </c>
      <c r="CP175" s="88" t="str">
        <f t="shared" si="16"/>
        <v/>
      </c>
      <c r="CQ175" s="88" t="str">
        <f t="shared" si="17"/>
        <v/>
      </c>
      <c r="CR175" s="88" t="str">
        <f t="shared" si="18"/>
        <v/>
      </c>
      <c r="CS175" s="88" t="str">
        <f t="shared" si="19"/>
        <v/>
      </c>
      <c r="CT175" s="88" t="str">
        <f t="shared" si="20"/>
        <v/>
      </c>
      <c r="CU175" s="88" t="str">
        <f t="shared" si="21"/>
        <v/>
      </c>
      <c r="CV175" s="88" t="str">
        <f t="shared" si="22"/>
        <v/>
      </c>
      <c r="CW175" s="88" t="str">
        <f t="shared" si="23"/>
        <v/>
      </c>
      <c r="CX175" s="7"/>
      <c r="CY175" s="7"/>
      <c r="CZ175" s="7"/>
      <c r="DA175" s="8"/>
      <c r="DU175" s="93" t="str">
        <f t="shared" si="24"/>
        <v/>
      </c>
      <c r="DV175" s="93" t="str">
        <f>ABA!$A175</f>
        <v/>
      </c>
      <c r="DW175" s="82" t="str">
        <f t="shared" si="25"/>
        <v/>
      </c>
    </row>
    <row r="176" ht="15.75" customHeight="1">
      <c r="A176" s="85"/>
      <c r="B176" s="107"/>
      <c r="C176" s="98"/>
      <c r="D176" s="98"/>
      <c r="E176" s="99"/>
      <c r="F176" s="98"/>
      <c r="G176" s="98"/>
      <c r="H176" s="98"/>
      <c r="I176" s="99"/>
      <c r="J176" s="98"/>
      <c r="K176" s="98"/>
      <c r="L176" s="98"/>
      <c r="M176" s="99"/>
      <c r="N176" s="98"/>
      <c r="O176" s="98"/>
      <c r="P176" s="98"/>
      <c r="Q176" s="99"/>
      <c r="R176" s="98"/>
      <c r="S176" s="98"/>
      <c r="T176" s="98"/>
      <c r="U176" s="99"/>
      <c r="V176" s="98"/>
      <c r="W176" s="98"/>
      <c r="X176" s="98"/>
      <c r="Y176" s="100"/>
      <c r="Z176" s="98"/>
      <c r="AA176" s="98"/>
      <c r="AB176" s="98"/>
      <c r="AC176" s="99"/>
      <c r="AD176" s="98"/>
      <c r="AE176" s="98"/>
      <c r="AF176" s="98"/>
      <c r="AG176" s="99"/>
      <c r="AH176" s="98"/>
      <c r="AI176" s="98"/>
      <c r="AJ176" s="98"/>
      <c r="AK176" s="99"/>
      <c r="AL176" s="98"/>
      <c r="AM176" s="98"/>
      <c r="AN176" s="98"/>
      <c r="AO176" s="98"/>
      <c r="AP176" s="84" t="str">
        <f t="shared" si="2"/>
        <v/>
      </c>
      <c r="AQ176" s="9"/>
      <c r="AR176" s="9"/>
      <c r="AS176" s="8"/>
      <c r="AT176" s="9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8"/>
      <c r="BX176" s="9"/>
      <c r="BY176" s="9"/>
      <c r="BZ176" s="9"/>
      <c r="CA176" s="33"/>
      <c r="CB176" s="85" t="str">
        <f t="shared" si="3"/>
        <v/>
      </c>
      <c r="CC176" s="86" t="str">
        <f t="shared" si="4"/>
        <v/>
      </c>
      <c r="CD176" s="86" t="str">
        <f t="shared" si="5"/>
        <v/>
      </c>
      <c r="CE176" s="86" t="str">
        <f t="shared" si="6"/>
        <v/>
      </c>
      <c r="CF176" s="86" t="str">
        <f t="shared" si="7"/>
        <v/>
      </c>
      <c r="CG176" s="86" t="str">
        <f t="shared" si="8"/>
        <v/>
      </c>
      <c r="CH176" s="86" t="str">
        <f t="shared" si="9"/>
        <v/>
      </c>
      <c r="CI176" s="86" t="str">
        <f t="shared" si="10"/>
        <v/>
      </c>
      <c r="CJ176" s="86" t="str">
        <f t="shared" si="11"/>
        <v/>
      </c>
      <c r="CK176" s="86" t="str">
        <f t="shared" si="12"/>
        <v/>
      </c>
      <c r="CL176" s="86" t="str">
        <f t="shared" si="13"/>
        <v/>
      </c>
      <c r="CM176" s="87" t="str">
        <f t="shared" si="14"/>
        <v/>
      </c>
      <c r="CN176" s="88" t="str">
        <f t="shared" si="26"/>
        <v/>
      </c>
      <c r="CO176" s="88" t="str">
        <f t="shared" si="15"/>
        <v/>
      </c>
      <c r="CP176" s="88" t="str">
        <f t="shared" si="16"/>
        <v/>
      </c>
      <c r="CQ176" s="88" t="str">
        <f t="shared" si="17"/>
        <v/>
      </c>
      <c r="CR176" s="88" t="str">
        <f t="shared" si="18"/>
        <v/>
      </c>
      <c r="CS176" s="88" t="str">
        <f t="shared" si="19"/>
        <v/>
      </c>
      <c r="CT176" s="88" t="str">
        <f t="shared" si="20"/>
        <v/>
      </c>
      <c r="CU176" s="88" t="str">
        <f t="shared" si="21"/>
        <v/>
      </c>
      <c r="CV176" s="88" t="str">
        <f t="shared" si="22"/>
        <v/>
      </c>
      <c r="CW176" s="88" t="str">
        <f t="shared" si="23"/>
        <v/>
      </c>
      <c r="CX176" s="7"/>
      <c r="CY176" s="7"/>
      <c r="CZ176" s="7"/>
      <c r="DA176" s="8"/>
      <c r="DU176" s="104" t="str">
        <f t="shared" si="24"/>
        <v/>
      </c>
      <c r="DV176" s="104" t="str">
        <f>ABA!$A176</f>
        <v/>
      </c>
      <c r="DW176" s="98" t="str">
        <f t="shared" si="25"/>
        <v/>
      </c>
    </row>
    <row r="177" ht="15.75" customHeight="1">
      <c r="A177" s="78"/>
      <c r="B177" s="105"/>
      <c r="C177" s="82"/>
      <c r="D177" s="82"/>
      <c r="E177" s="83"/>
      <c r="F177" s="82"/>
      <c r="G177" s="82"/>
      <c r="H177" s="82"/>
      <c r="I177" s="83"/>
      <c r="J177" s="82"/>
      <c r="K177" s="82"/>
      <c r="L177" s="82"/>
      <c r="M177" s="83"/>
      <c r="N177" s="82"/>
      <c r="O177" s="82"/>
      <c r="P177" s="82"/>
      <c r="Q177" s="83"/>
      <c r="R177" s="82"/>
      <c r="S177" s="82"/>
      <c r="T177" s="82"/>
      <c r="U177" s="83"/>
      <c r="V177" s="82"/>
      <c r="W177" s="82"/>
      <c r="X177" s="82"/>
      <c r="Y177" s="83"/>
      <c r="Z177" s="82"/>
      <c r="AA177" s="82"/>
      <c r="AB177" s="82"/>
      <c r="AC177" s="83"/>
      <c r="AD177" s="82"/>
      <c r="AE177" s="82"/>
      <c r="AF177" s="82"/>
      <c r="AG177" s="83"/>
      <c r="AH177" s="82"/>
      <c r="AI177" s="82"/>
      <c r="AJ177" s="82"/>
      <c r="AK177" s="83"/>
      <c r="AL177" s="82"/>
      <c r="AM177" s="82"/>
      <c r="AN177" s="82"/>
      <c r="AO177" s="82"/>
      <c r="AP177" s="84" t="str">
        <f t="shared" si="2"/>
        <v/>
      </c>
      <c r="AQ177" s="9"/>
      <c r="AR177" s="9"/>
      <c r="AS177" s="8"/>
      <c r="AT177" s="9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8"/>
      <c r="BX177" s="9"/>
      <c r="BY177" s="9"/>
      <c r="BZ177" s="9"/>
      <c r="CA177" s="33"/>
      <c r="CB177" s="85" t="str">
        <f t="shared" si="3"/>
        <v/>
      </c>
      <c r="CC177" s="86" t="str">
        <f t="shared" si="4"/>
        <v/>
      </c>
      <c r="CD177" s="86" t="str">
        <f t="shared" si="5"/>
        <v/>
      </c>
      <c r="CE177" s="86" t="str">
        <f t="shared" si="6"/>
        <v/>
      </c>
      <c r="CF177" s="86" t="str">
        <f t="shared" si="7"/>
        <v/>
      </c>
      <c r="CG177" s="86" t="str">
        <f t="shared" si="8"/>
        <v/>
      </c>
      <c r="CH177" s="86" t="str">
        <f t="shared" si="9"/>
        <v/>
      </c>
      <c r="CI177" s="86" t="str">
        <f t="shared" si="10"/>
        <v/>
      </c>
      <c r="CJ177" s="86" t="str">
        <f t="shared" si="11"/>
        <v/>
      </c>
      <c r="CK177" s="86" t="str">
        <f t="shared" si="12"/>
        <v/>
      </c>
      <c r="CL177" s="86" t="str">
        <f t="shared" si="13"/>
        <v/>
      </c>
      <c r="CM177" s="87" t="str">
        <f t="shared" si="14"/>
        <v/>
      </c>
      <c r="CN177" s="88" t="str">
        <f t="shared" si="26"/>
        <v/>
      </c>
      <c r="CO177" s="88" t="str">
        <f t="shared" si="15"/>
        <v/>
      </c>
      <c r="CP177" s="88" t="str">
        <f t="shared" si="16"/>
        <v/>
      </c>
      <c r="CQ177" s="88" t="str">
        <f t="shared" si="17"/>
        <v/>
      </c>
      <c r="CR177" s="88" t="str">
        <f t="shared" si="18"/>
        <v/>
      </c>
      <c r="CS177" s="88" t="str">
        <f t="shared" si="19"/>
        <v/>
      </c>
      <c r="CT177" s="88" t="str">
        <f t="shared" si="20"/>
        <v/>
      </c>
      <c r="CU177" s="88" t="str">
        <f t="shared" si="21"/>
        <v/>
      </c>
      <c r="CV177" s="88" t="str">
        <f t="shared" si="22"/>
        <v/>
      </c>
      <c r="CW177" s="88" t="str">
        <f t="shared" si="23"/>
        <v/>
      </c>
      <c r="CX177" s="7"/>
      <c r="CY177" s="7"/>
      <c r="CZ177" s="7"/>
      <c r="DA177" s="8"/>
      <c r="DU177" s="93" t="str">
        <f t="shared" si="24"/>
        <v/>
      </c>
      <c r="DV177" s="93" t="str">
        <f>ABA!$A177</f>
        <v/>
      </c>
      <c r="DW177" s="82" t="str">
        <f t="shared" si="25"/>
        <v/>
      </c>
    </row>
    <row r="178" ht="15.75" customHeight="1">
      <c r="A178" s="85"/>
      <c r="B178" s="107"/>
      <c r="C178" s="98"/>
      <c r="D178" s="98"/>
      <c r="E178" s="99"/>
      <c r="F178" s="98"/>
      <c r="G178" s="98"/>
      <c r="H178" s="98"/>
      <c r="I178" s="99"/>
      <c r="J178" s="98"/>
      <c r="K178" s="98"/>
      <c r="L178" s="98"/>
      <c r="M178" s="99"/>
      <c r="N178" s="98"/>
      <c r="O178" s="98"/>
      <c r="P178" s="98"/>
      <c r="Q178" s="99"/>
      <c r="R178" s="98"/>
      <c r="S178" s="98"/>
      <c r="T178" s="98"/>
      <c r="U178" s="99"/>
      <c r="V178" s="98"/>
      <c r="W178" s="98"/>
      <c r="X178" s="98"/>
      <c r="Y178" s="100"/>
      <c r="Z178" s="98"/>
      <c r="AA178" s="98"/>
      <c r="AB178" s="98"/>
      <c r="AC178" s="99"/>
      <c r="AD178" s="98"/>
      <c r="AE178" s="98"/>
      <c r="AF178" s="98"/>
      <c r="AG178" s="99"/>
      <c r="AH178" s="98"/>
      <c r="AI178" s="98"/>
      <c r="AJ178" s="98"/>
      <c r="AK178" s="99"/>
      <c r="AL178" s="98"/>
      <c r="AM178" s="98"/>
      <c r="AN178" s="98"/>
      <c r="AO178" s="98"/>
      <c r="AP178" s="84" t="str">
        <f t="shared" si="2"/>
        <v/>
      </c>
      <c r="AQ178" s="9"/>
      <c r="AR178" s="9"/>
      <c r="AS178" s="8"/>
      <c r="AT178" s="9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8"/>
      <c r="BX178" s="9"/>
      <c r="BY178" s="9"/>
      <c r="BZ178" s="9"/>
      <c r="CA178" s="33"/>
      <c r="CB178" s="85" t="str">
        <f t="shared" si="3"/>
        <v/>
      </c>
      <c r="CC178" s="86" t="str">
        <f t="shared" si="4"/>
        <v/>
      </c>
      <c r="CD178" s="86" t="str">
        <f t="shared" si="5"/>
        <v/>
      </c>
      <c r="CE178" s="86" t="str">
        <f t="shared" si="6"/>
        <v/>
      </c>
      <c r="CF178" s="86" t="str">
        <f t="shared" si="7"/>
        <v/>
      </c>
      <c r="CG178" s="86" t="str">
        <f t="shared" si="8"/>
        <v/>
      </c>
      <c r="CH178" s="86" t="str">
        <f t="shared" si="9"/>
        <v/>
      </c>
      <c r="CI178" s="86" t="str">
        <f t="shared" si="10"/>
        <v/>
      </c>
      <c r="CJ178" s="86" t="str">
        <f t="shared" si="11"/>
        <v/>
      </c>
      <c r="CK178" s="86" t="str">
        <f t="shared" si="12"/>
        <v/>
      </c>
      <c r="CL178" s="86" t="str">
        <f t="shared" si="13"/>
        <v/>
      </c>
      <c r="CM178" s="87" t="str">
        <f t="shared" si="14"/>
        <v/>
      </c>
      <c r="CN178" s="88" t="str">
        <f t="shared" si="26"/>
        <v/>
      </c>
      <c r="CO178" s="88" t="str">
        <f t="shared" si="15"/>
        <v/>
      </c>
      <c r="CP178" s="88" t="str">
        <f t="shared" si="16"/>
        <v/>
      </c>
      <c r="CQ178" s="88" t="str">
        <f t="shared" si="17"/>
        <v/>
      </c>
      <c r="CR178" s="88" t="str">
        <f t="shared" si="18"/>
        <v/>
      </c>
      <c r="CS178" s="88" t="str">
        <f t="shared" si="19"/>
        <v/>
      </c>
      <c r="CT178" s="88" t="str">
        <f t="shared" si="20"/>
        <v/>
      </c>
      <c r="CU178" s="88" t="str">
        <f t="shared" si="21"/>
        <v/>
      </c>
      <c r="CV178" s="88" t="str">
        <f t="shared" si="22"/>
        <v/>
      </c>
      <c r="CW178" s="88" t="str">
        <f t="shared" si="23"/>
        <v/>
      </c>
      <c r="CX178" s="7"/>
      <c r="CY178" s="7"/>
      <c r="CZ178" s="7"/>
      <c r="DA178" s="8"/>
      <c r="DU178" s="104" t="str">
        <f t="shared" si="24"/>
        <v/>
      </c>
      <c r="DV178" s="104" t="str">
        <f>ABA!$A178</f>
        <v/>
      </c>
      <c r="DW178" s="98" t="str">
        <f t="shared" si="25"/>
        <v/>
      </c>
    </row>
    <row r="179" ht="15.75" customHeight="1">
      <c r="A179" s="78"/>
      <c r="B179" s="105"/>
      <c r="C179" s="82"/>
      <c r="D179" s="82"/>
      <c r="E179" s="83"/>
      <c r="F179" s="82"/>
      <c r="G179" s="82"/>
      <c r="H179" s="82"/>
      <c r="I179" s="83"/>
      <c r="J179" s="82"/>
      <c r="K179" s="82"/>
      <c r="L179" s="82"/>
      <c r="M179" s="83"/>
      <c r="N179" s="82"/>
      <c r="O179" s="82"/>
      <c r="P179" s="82"/>
      <c r="Q179" s="83"/>
      <c r="R179" s="82"/>
      <c r="S179" s="82"/>
      <c r="T179" s="82"/>
      <c r="U179" s="83"/>
      <c r="V179" s="82"/>
      <c r="W179" s="82"/>
      <c r="X179" s="82"/>
      <c r="Y179" s="83"/>
      <c r="Z179" s="82"/>
      <c r="AA179" s="82"/>
      <c r="AB179" s="82"/>
      <c r="AC179" s="83"/>
      <c r="AD179" s="82"/>
      <c r="AE179" s="82"/>
      <c r="AF179" s="82"/>
      <c r="AG179" s="83"/>
      <c r="AH179" s="82"/>
      <c r="AI179" s="82"/>
      <c r="AJ179" s="82"/>
      <c r="AK179" s="83"/>
      <c r="AL179" s="82"/>
      <c r="AM179" s="82"/>
      <c r="AN179" s="82"/>
      <c r="AO179" s="82"/>
      <c r="AP179" s="84" t="str">
        <f t="shared" si="2"/>
        <v/>
      </c>
      <c r="AQ179" s="9"/>
      <c r="AR179" s="9"/>
      <c r="AS179" s="8"/>
      <c r="AT179" s="9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8"/>
      <c r="BX179" s="9"/>
      <c r="BY179" s="9"/>
      <c r="BZ179" s="9"/>
      <c r="CA179" s="33"/>
      <c r="CB179" s="85" t="str">
        <f t="shared" si="3"/>
        <v/>
      </c>
      <c r="CC179" s="86" t="str">
        <f t="shared" si="4"/>
        <v/>
      </c>
      <c r="CD179" s="86" t="str">
        <f t="shared" si="5"/>
        <v/>
      </c>
      <c r="CE179" s="86" t="str">
        <f t="shared" si="6"/>
        <v/>
      </c>
      <c r="CF179" s="86" t="str">
        <f t="shared" si="7"/>
        <v/>
      </c>
      <c r="CG179" s="86" t="str">
        <f t="shared" si="8"/>
        <v/>
      </c>
      <c r="CH179" s="86" t="str">
        <f t="shared" si="9"/>
        <v/>
      </c>
      <c r="CI179" s="86" t="str">
        <f t="shared" si="10"/>
        <v/>
      </c>
      <c r="CJ179" s="86" t="str">
        <f t="shared" si="11"/>
        <v/>
      </c>
      <c r="CK179" s="86" t="str">
        <f t="shared" si="12"/>
        <v/>
      </c>
      <c r="CL179" s="86" t="str">
        <f t="shared" si="13"/>
        <v/>
      </c>
      <c r="CM179" s="87" t="str">
        <f t="shared" si="14"/>
        <v/>
      </c>
      <c r="CN179" s="88" t="str">
        <f t="shared" si="26"/>
        <v/>
      </c>
      <c r="CO179" s="88" t="str">
        <f t="shared" si="15"/>
        <v/>
      </c>
      <c r="CP179" s="88" t="str">
        <f t="shared" si="16"/>
        <v/>
      </c>
      <c r="CQ179" s="88" t="str">
        <f t="shared" si="17"/>
        <v/>
      </c>
      <c r="CR179" s="88" t="str">
        <f t="shared" si="18"/>
        <v/>
      </c>
      <c r="CS179" s="88" t="str">
        <f t="shared" si="19"/>
        <v/>
      </c>
      <c r="CT179" s="88" t="str">
        <f t="shared" si="20"/>
        <v/>
      </c>
      <c r="CU179" s="88" t="str">
        <f t="shared" si="21"/>
        <v/>
      </c>
      <c r="CV179" s="88" t="str">
        <f t="shared" si="22"/>
        <v/>
      </c>
      <c r="CW179" s="88" t="str">
        <f t="shared" si="23"/>
        <v/>
      </c>
      <c r="CX179" s="7"/>
      <c r="CY179" s="7"/>
      <c r="CZ179" s="7"/>
      <c r="DA179" s="8"/>
      <c r="DU179" s="93" t="str">
        <f t="shared" si="24"/>
        <v/>
      </c>
      <c r="DV179" s="93" t="str">
        <f>ABA!$A179</f>
        <v/>
      </c>
      <c r="DW179" s="82" t="str">
        <f t="shared" si="25"/>
        <v/>
      </c>
    </row>
    <row r="180" ht="15.75" customHeight="1">
      <c r="A180" s="85"/>
      <c r="B180" s="107"/>
      <c r="C180" s="98"/>
      <c r="D180" s="98"/>
      <c r="E180" s="99"/>
      <c r="F180" s="98"/>
      <c r="G180" s="98"/>
      <c r="H180" s="98"/>
      <c r="I180" s="99"/>
      <c r="J180" s="98"/>
      <c r="K180" s="98"/>
      <c r="L180" s="98"/>
      <c r="M180" s="99"/>
      <c r="N180" s="98"/>
      <c r="O180" s="98"/>
      <c r="P180" s="98"/>
      <c r="Q180" s="99"/>
      <c r="R180" s="98"/>
      <c r="S180" s="98"/>
      <c r="T180" s="98"/>
      <c r="U180" s="99"/>
      <c r="V180" s="98"/>
      <c r="W180" s="98"/>
      <c r="X180" s="98"/>
      <c r="Y180" s="100"/>
      <c r="Z180" s="98"/>
      <c r="AA180" s="98"/>
      <c r="AB180" s="98"/>
      <c r="AC180" s="99"/>
      <c r="AD180" s="98"/>
      <c r="AE180" s="98"/>
      <c r="AF180" s="98"/>
      <c r="AG180" s="99"/>
      <c r="AH180" s="98"/>
      <c r="AI180" s="98"/>
      <c r="AJ180" s="98"/>
      <c r="AK180" s="99"/>
      <c r="AL180" s="98"/>
      <c r="AM180" s="98"/>
      <c r="AN180" s="98"/>
      <c r="AO180" s="98"/>
      <c r="AP180" s="84" t="str">
        <f t="shared" si="2"/>
        <v/>
      </c>
      <c r="AQ180" s="9"/>
      <c r="AR180" s="9"/>
      <c r="AS180" s="8"/>
      <c r="AT180" s="9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8"/>
      <c r="BX180" s="9"/>
      <c r="BY180" s="9"/>
      <c r="BZ180" s="9"/>
      <c r="CA180" s="33"/>
      <c r="CB180" s="85" t="str">
        <f t="shared" si="3"/>
        <v/>
      </c>
      <c r="CC180" s="86" t="str">
        <f t="shared" si="4"/>
        <v/>
      </c>
      <c r="CD180" s="86" t="str">
        <f t="shared" si="5"/>
        <v/>
      </c>
      <c r="CE180" s="86" t="str">
        <f t="shared" si="6"/>
        <v/>
      </c>
      <c r="CF180" s="86" t="str">
        <f t="shared" si="7"/>
        <v/>
      </c>
      <c r="CG180" s="86" t="str">
        <f t="shared" si="8"/>
        <v/>
      </c>
      <c r="CH180" s="86" t="str">
        <f t="shared" si="9"/>
        <v/>
      </c>
      <c r="CI180" s="86" t="str">
        <f t="shared" si="10"/>
        <v/>
      </c>
      <c r="CJ180" s="86" t="str">
        <f t="shared" si="11"/>
        <v/>
      </c>
      <c r="CK180" s="86" t="str">
        <f t="shared" si="12"/>
        <v/>
      </c>
      <c r="CL180" s="86" t="str">
        <f t="shared" si="13"/>
        <v/>
      </c>
      <c r="CM180" s="87" t="str">
        <f t="shared" si="14"/>
        <v/>
      </c>
      <c r="CN180" s="88" t="str">
        <f t="shared" si="26"/>
        <v/>
      </c>
      <c r="CO180" s="88" t="str">
        <f t="shared" si="15"/>
        <v/>
      </c>
      <c r="CP180" s="88" t="str">
        <f t="shared" si="16"/>
        <v/>
      </c>
      <c r="CQ180" s="88" t="str">
        <f t="shared" si="17"/>
        <v/>
      </c>
      <c r="CR180" s="88" t="str">
        <f t="shared" si="18"/>
        <v/>
      </c>
      <c r="CS180" s="88" t="str">
        <f t="shared" si="19"/>
        <v/>
      </c>
      <c r="CT180" s="88" t="str">
        <f t="shared" si="20"/>
        <v/>
      </c>
      <c r="CU180" s="88" t="str">
        <f t="shared" si="21"/>
        <v/>
      </c>
      <c r="CV180" s="88" t="str">
        <f t="shared" si="22"/>
        <v/>
      </c>
      <c r="CW180" s="88" t="str">
        <f t="shared" si="23"/>
        <v/>
      </c>
      <c r="CX180" s="7"/>
      <c r="CY180" s="7"/>
      <c r="CZ180" s="7"/>
      <c r="DA180" s="8"/>
      <c r="DU180" s="104" t="str">
        <f t="shared" si="24"/>
        <v/>
      </c>
      <c r="DV180" s="104" t="str">
        <f>ABA!$A180</f>
        <v/>
      </c>
      <c r="DW180" s="98" t="str">
        <f t="shared" si="25"/>
        <v/>
      </c>
    </row>
    <row r="181" ht="15.75" customHeight="1">
      <c r="A181" s="78"/>
      <c r="B181" s="105"/>
      <c r="C181" s="82"/>
      <c r="D181" s="82"/>
      <c r="E181" s="83"/>
      <c r="F181" s="82"/>
      <c r="G181" s="82"/>
      <c r="H181" s="82"/>
      <c r="I181" s="83"/>
      <c r="J181" s="82"/>
      <c r="K181" s="82"/>
      <c r="L181" s="82"/>
      <c r="M181" s="83"/>
      <c r="N181" s="82"/>
      <c r="O181" s="82"/>
      <c r="P181" s="82"/>
      <c r="Q181" s="83"/>
      <c r="R181" s="82"/>
      <c r="S181" s="82"/>
      <c r="T181" s="82"/>
      <c r="U181" s="83"/>
      <c r="V181" s="82"/>
      <c r="W181" s="82"/>
      <c r="X181" s="82"/>
      <c r="Y181" s="83"/>
      <c r="Z181" s="82"/>
      <c r="AA181" s="82"/>
      <c r="AB181" s="82"/>
      <c r="AC181" s="83"/>
      <c r="AD181" s="82"/>
      <c r="AE181" s="82"/>
      <c r="AF181" s="82"/>
      <c r="AG181" s="83"/>
      <c r="AH181" s="82"/>
      <c r="AI181" s="82"/>
      <c r="AJ181" s="82"/>
      <c r="AK181" s="83"/>
      <c r="AL181" s="82"/>
      <c r="AM181" s="82"/>
      <c r="AN181" s="82"/>
      <c r="AO181" s="82"/>
      <c r="AP181" s="84" t="str">
        <f t="shared" si="2"/>
        <v/>
      </c>
      <c r="AQ181" s="9"/>
      <c r="AR181" s="9"/>
      <c r="AS181" s="8"/>
      <c r="AT181" s="9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8"/>
      <c r="BX181" s="9"/>
      <c r="BY181" s="9"/>
      <c r="BZ181" s="9"/>
      <c r="CA181" s="33"/>
      <c r="CB181" s="85" t="str">
        <f t="shared" si="3"/>
        <v/>
      </c>
      <c r="CC181" s="86" t="str">
        <f t="shared" si="4"/>
        <v/>
      </c>
      <c r="CD181" s="86" t="str">
        <f t="shared" si="5"/>
        <v/>
      </c>
      <c r="CE181" s="86" t="str">
        <f t="shared" si="6"/>
        <v/>
      </c>
      <c r="CF181" s="86" t="str">
        <f t="shared" si="7"/>
        <v/>
      </c>
      <c r="CG181" s="86" t="str">
        <f t="shared" si="8"/>
        <v/>
      </c>
      <c r="CH181" s="86" t="str">
        <f t="shared" si="9"/>
        <v/>
      </c>
      <c r="CI181" s="86" t="str">
        <f t="shared" si="10"/>
        <v/>
      </c>
      <c r="CJ181" s="86" t="str">
        <f t="shared" si="11"/>
        <v/>
      </c>
      <c r="CK181" s="86" t="str">
        <f t="shared" si="12"/>
        <v/>
      </c>
      <c r="CL181" s="86" t="str">
        <f t="shared" si="13"/>
        <v/>
      </c>
      <c r="CM181" s="87" t="str">
        <f t="shared" si="14"/>
        <v/>
      </c>
      <c r="CN181" s="88" t="str">
        <f t="shared" si="26"/>
        <v/>
      </c>
      <c r="CO181" s="88" t="str">
        <f t="shared" si="15"/>
        <v/>
      </c>
      <c r="CP181" s="88" t="str">
        <f t="shared" si="16"/>
        <v/>
      </c>
      <c r="CQ181" s="88" t="str">
        <f t="shared" si="17"/>
        <v/>
      </c>
      <c r="CR181" s="88" t="str">
        <f t="shared" si="18"/>
        <v/>
      </c>
      <c r="CS181" s="88" t="str">
        <f t="shared" si="19"/>
        <v/>
      </c>
      <c r="CT181" s="88" t="str">
        <f t="shared" si="20"/>
        <v/>
      </c>
      <c r="CU181" s="88" t="str">
        <f t="shared" si="21"/>
        <v/>
      </c>
      <c r="CV181" s="88" t="str">
        <f t="shared" si="22"/>
        <v/>
      </c>
      <c r="CW181" s="88" t="str">
        <f t="shared" si="23"/>
        <v/>
      </c>
      <c r="CX181" s="7"/>
      <c r="CY181" s="7"/>
      <c r="CZ181" s="7"/>
      <c r="DA181" s="8"/>
      <c r="DU181" s="93" t="str">
        <f t="shared" si="24"/>
        <v/>
      </c>
      <c r="DV181" s="93" t="str">
        <f>ABA!$A181</f>
        <v/>
      </c>
      <c r="DW181" s="82" t="str">
        <f t="shared" si="25"/>
        <v/>
      </c>
    </row>
    <row r="182" ht="15.75" customHeight="1">
      <c r="A182" s="85"/>
      <c r="B182" s="107"/>
      <c r="C182" s="98"/>
      <c r="D182" s="98"/>
      <c r="E182" s="99"/>
      <c r="F182" s="98"/>
      <c r="G182" s="98"/>
      <c r="H182" s="98"/>
      <c r="I182" s="99"/>
      <c r="J182" s="98"/>
      <c r="K182" s="98"/>
      <c r="L182" s="98"/>
      <c r="M182" s="99"/>
      <c r="N182" s="98"/>
      <c r="O182" s="98"/>
      <c r="P182" s="98"/>
      <c r="Q182" s="99"/>
      <c r="R182" s="98"/>
      <c r="S182" s="98"/>
      <c r="T182" s="98"/>
      <c r="U182" s="99"/>
      <c r="V182" s="98"/>
      <c r="W182" s="98"/>
      <c r="X182" s="98"/>
      <c r="Y182" s="100"/>
      <c r="Z182" s="98"/>
      <c r="AA182" s="98"/>
      <c r="AB182" s="98"/>
      <c r="AC182" s="99"/>
      <c r="AD182" s="98"/>
      <c r="AE182" s="98"/>
      <c r="AF182" s="98"/>
      <c r="AG182" s="99"/>
      <c r="AH182" s="98"/>
      <c r="AI182" s="98"/>
      <c r="AJ182" s="98"/>
      <c r="AK182" s="99"/>
      <c r="AL182" s="98"/>
      <c r="AM182" s="98"/>
      <c r="AN182" s="98"/>
      <c r="AO182" s="98"/>
      <c r="AP182" s="84" t="str">
        <f t="shared" si="2"/>
        <v/>
      </c>
      <c r="AQ182" s="9"/>
      <c r="AR182" s="9"/>
      <c r="AS182" s="8"/>
      <c r="AT182" s="9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8"/>
      <c r="BX182" s="9"/>
      <c r="BY182" s="9"/>
      <c r="BZ182" s="9"/>
      <c r="CA182" s="33"/>
      <c r="CB182" s="85" t="str">
        <f t="shared" si="3"/>
        <v/>
      </c>
      <c r="CC182" s="86" t="str">
        <f t="shared" si="4"/>
        <v/>
      </c>
      <c r="CD182" s="86" t="str">
        <f t="shared" si="5"/>
        <v/>
      </c>
      <c r="CE182" s="86" t="str">
        <f t="shared" si="6"/>
        <v/>
      </c>
      <c r="CF182" s="86" t="str">
        <f t="shared" si="7"/>
        <v/>
      </c>
      <c r="CG182" s="86" t="str">
        <f t="shared" si="8"/>
        <v/>
      </c>
      <c r="CH182" s="86" t="str">
        <f t="shared" si="9"/>
        <v/>
      </c>
      <c r="CI182" s="86" t="str">
        <f t="shared" si="10"/>
        <v/>
      </c>
      <c r="CJ182" s="86" t="str">
        <f t="shared" si="11"/>
        <v/>
      </c>
      <c r="CK182" s="86" t="str">
        <f t="shared" si="12"/>
        <v/>
      </c>
      <c r="CL182" s="86" t="str">
        <f t="shared" si="13"/>
        <v/>
      </c>
      <c r="CM182" s="87" t="str">
        <f t="shared" si="14"/>
        <v/>
      </c>
      <c r="CN182" s="88" t="str">
        <f t="shared" si="26"/>
        <v/>
      </c>
      <c r="CO182" s="88" t="str">
        <f t="shared" si="15"/>
        <v/>
      </c>
      <c r="CP182" s="88" t="str">
        <f t="shared" si="16"/>
        <v/>
      </c>
      <c r="CQ182" s="88" t="str">
        <f t="shared" si="17"/>
        <v/>
      </c>
      <c r="CR182" s="88" t="str">
        <f t="shared" si="18"/>
        <v/>
      </c>
      <c r="CS182" s="88" t="str">
        <f t="shared" si="19"/>
        <v/>
      </c>
      <c r="CT182" s="88" t="str">
        <f t="shared" si="20"/>
        <v/>
      </c>
      <c r="CU182" s="88" t="str">
        <f t="shared" si="21"/>
        <v/>
      </c>
      <c r="CV182" s="88" t="str">
        <f t="shared" si="22"/>
        <v/>
      </c>
      <c r="CW182" s="88" t="str">
        <f t="shared" si="23"/>
        <v/>
      </c>
      <c r="CX182" s="7"/>
      <c r="CY182" s="7"/>
      <c r="CZ182" s="7"/>
      <c r="DA182" s="8"/>
      <c r="DU182" s="104" t="str">
        <f t="shared" si="24"/>
        <v/>
      </c>
      <c r="DV182" s="104" t="str">
        <f>ABA!$A182</f>
        <v/>
      </c>
      <c r="DW182" s="98" t="str">
        <f t="shared" si="25"/>
        <v/>
      </c>
    </row>
    <row r="183" ht="15.75" customHeight="1">
      <c r="A183" s="78"/>
      <c r="B183" s="105"/>
      <c r="C183" s="82"/>
      <c r="D183" s="82"/>
      <c r="E183" s="83"/>
      <c r="F183" s="82"/>
      <c r="G183" s="82"/>
      <c r="H183" s="82"/>
      <c r="I183" s="83"/>
      <c r="J183" s="82"/>
      <c r="K183" s="82"/>
      <c r="L183" s="82"/>
      <c r="M183" s="83"/>
      <c r="N183" s="82"/>
      <c r="O183" s="82"/>
      <c r="P183" s="82"/>
      <c r="Q183" s="83"/>
      <c r="R183" s="82"/>
      <c r="S183" s="82"/>
      <c r="T183" s="82"/>
      <c r="U183" s="83"/>
      <c r="V183" s="82"/>
      <c r="W183" s="82"/>
      <c r="X183" s="82"/>
      <c r="Y183" s="83"/>
      <c r="Z183" s="82"/>
      <c r="AA183" s="82"/>
      <c r="AB183" s="82"/>
      <c r="AC183" s="83"/>
      <c r="AD183" s="82"/>
      <c r="AE183" s="82"/>
      <c r="AF183" s="82"/>
      <c r="AG183" s="83"/>
      <c r="AH183" s="82"/>
      <c r="AI183" s="82"/>
      <c r="AJ183" s="82"/>
      <c r="AK183" s="83"/>
      <c r="AL183" s="82"/>
      <c r="AM183" s="82"/>
      <c r="AN183" s="82"/>
      <c r="AO183" s="82"/>
      <c r="AP183" s="84" t="str">
        <f t="shared" si="2"/>
        <v/>
      </c>
      <c r="AQ183" s="9"/>
      <c r="AR183" s="9"/>
      <c r="AS183" s="8"/>
      <c r="AT183" s="9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8"/>
      <c r="BX183" s="9"/>
      <c r="BY183" s="9"/>
      <c r="BZ183" s="9"/>
      <c r="CA183" s="33"/>
      <c r="CB183" s="85" t="str">
        <f t="shared" si="3"/>
        <v/>
      </c>
      <c r="CC183" s="86" t="str">
        <f t="shared" si="4"/>
        <v/>
      </c>
      <c r="CD183" s="86" t="str">
        <f t="shared" si="5"/>
        <v/>
      </c>
      <c r="CE183" s="86" t="str">
        <f t="shared" si="6"/>
        <v/>
      </c>
      <c r="CF183" s="86" t="str">
        <f t="shared" si="7"/>
        <v/>
      </c>
      <c r="CG183" s="86" t="str">
        <f t="shared" si="8"/>
        <v/>
      </c>
      <c r="CH183" s="86" t="str">
        <f t="shared" si="9"/>
        <v/>
      </c>
      <c r="CI183" s="86" t="str">
        <f t="shared" si="10"/>
        <v/>
      </c>
      <c r="CJ183" s="86" t="str">
        <f t="shared" si="11"/>
        <v/>
      </c>
      <c r="CK183" s="86" t="str">
        <f t="shared" si="12"/>
        <v/>
      </c>
      <c r="CL183" s="86" t="str">
        <f t="shared" si="13"/>
        <v/>
      </c>
      <c r="CM183" s="87" t="str">
        <f t="shared" si="14"/>
        <v/>
      </c>
      <c r="CN183" s="88" t="str">
        <f t="shared" si="26"/>
        <v/>
      </c>
      <c r="CO183" s="88" t="str">
        <f t="shared" si="15"/>
        <v/>
      </c>
      <c r="CP183" s="88" t="str">
        <f t="shared" si="16"/>
        <v/>
      </c>
      <c r="CQ183" s="88" t="str">
        <f t="shared" si="17"/>
        <v/>
      </c>
      <c r="CR183" s="88" t="str">
        <f t="shared" si="18"/>
        <v/>
      </c>
      <c r="CS183" s="88" t="str">
        <f t="shared" si="19"/>
        <v/>
      </c>
      <c r="CT183" s="88" t="str">
        <f t="shared" si="20"/>
        <v/>
      </c>
      <c r="CU183" s="88" t="str">
        <f t="shared" si="21"/>
        <v/>
      </c>
      <c r="CV183" s="88" t="str">
        <f t="shared" si="22"/>
        <v/>
      </c>
      <c r="CW183" s="88" t="str">
        <f t="shared" si="23"/>
        <v/>
      </c>
      <c r="CX183" s="7"/>
      <c r="CY183" s="7"/>
      <c r="CZ183" s="7"/>
      <c r="DA183" s="8"/>
      <c r="DU183" s="93" t="str">
        <f t="shared" si="24"/>
        <v/>
      </c>
      <c r="DV183" s="93" t="str">
        <f>ABA!$A183</f>
        <v/>
      </c>
      <c r="DW183" s="82" t="str">
        <f t="shared" si="25"/>
        <v/>
      </c>
    </row>
    <row r="184" ht="15.75" customHeight="1">
      <c r="A184" s="85"/>
      <c r="B184" s="107"/>
      <c r="C184" s="98"/>
      <c r="D184" s="98"/>
      <c r="E184" s="99"/>
      <c r="F184" s="98"/>
      <c r="G184" s="98"/>
      <c r="H184" s="98"/>
      <c r="I184" s="99"/>
      <c r="J184" s="98"/>
      <c r="K184" s="98"/>
      <c r="L184" s="98"/>
      <c r="M184" s="99"/>
      <c r="N184" s="98"/>
      <c r="O184" s="98"/>
      <c r="P184" s="98"/>
      <c r="Q184" s="99"/>
      <c r="R184" s="98"/>
      <c r="S184" s="98"/>
      <c r="T184" s="98"/>
      <c r="U184" s="99"/>
      <c r="V184" s="98"/>
      <c r="W184" s="98"/>
      <c r="X184" s="98"/>
      <c r="Y184" s="100"/>
      <c r="Z184" s="98"/>
      <c r="AA184" s="98"/>
      <c r="AB184" s="98"/>
      <c r="AC184" s="99"/>
      <c r="AD184" s="98"/>
      <c r="AE184" s="98"/>
      <c r="AF184" s="98"/>
      <c r="AG184" s="99"/>
      <c r="AH184" s="98"/>
      <c r="AI184" s="98"/>
      <c r="AJ184" s="98"/>
      <c r="AK184" s="99"/>
      <c r="AL184" s="98"/>
      <c r="AM184" s="98"/>
      <c r="AN184" s="98"/>
      <c r="AO184" s="98"/>
      <c r="AP184" s="84" t="str">
        <f t="shared" si="2"/>
        <v/>
      </c>
      <c r="AQ184" s="9"/>
      <c r="AR184" s="9"/>
      <c r="AS184" s="8"/>
      <c r="AT184" s="9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8"/>
      <c r="BX184" s="9"/>
      <c r="BY184" s="9"/>
      <c r="BZ184" s="9"/>
      <c r="CA184" s="33"/>
      <c r="CB184" s="85" t="str">
        <f t="shared" si="3"/>
        <v/>
      </c>
      <c r="CC184" s="86" t="str">
        <f t="shared" si="4"/>
        <v/>
      </c>
      <c r="CD184" s="86" t="str">
        <f t="shared" si="5"/>
        <v/>
      </c>
      <c r="CE184" s="86" t="str">
        <f t="shared" si="6"/>
        <v/>
      </c>
      <c r="CF184" s="86" t="str">
        <f t="shared" si="7"/>
        <v/>
      </c>
      <c r="CG184" s="86" t="str">
        <f t="shared" si="8"/>
        <v/>
      </c>
      <c r="CH184" s="86" t="str">
        <f t="shared" si="9"/>
        <v/>
      </c>
      <c r="CI184" s="86" t="str">
        <f t="shared" si="10"/>
        <v/>
      </c>
      <c r="CJ184" s="86" t="str">
        <f t="shared" si="11"/>
        <v/>
      </c>
      <c r="CK184" s="86" t="str">
        <f t="shared" si="12"/>
        <v/>
      </c>
      <c r="CL184" s="86" t="str">
        <f t="shared" si="13"/>
        <v/>
      </c>
      <c r="CM184" s="87" t="str">
        <f t="shared" si="14"/>
        <v/>
      </c>
      <c r="CN184" s="88" t="str">
        <f t="shared" si="26"/>
        <v/>
      </c>
      <c r="CO184" s="88" t="str">
        <f t="shared" si="15"/>
        <v/>
      </c>
      <c r="CP184" s="88" t="str">
        <f t="shared" si="16"/>
        <v/>
      </c>
      <c r="CQ184" s="88" t="str">
        <f t="shared" si="17"/>
        <v/>
      </c>
      <c r="CR184" s="88" t="str">
        <f t="shared" si="18"/>
        <v/>
      </c>
      <c r="CS184" s="88" t="str">
        <f t="shared" si="19"/>
        <v/>
      </c>
      <c r="CT184" s="88" t="str">
        <f t="shared" si="20"/>
        <v/>
      </c>
      <c r="CU184" s="88" t="str">
        <f t="shared" si="21"/>
        <v/>
      </c>
      <c r="CV184" s="88" t="str">
        <f t="shared" si="22"/>
        <v/>
      </c>
      <c r="CW184" s="88" t="str">
        <f t="shared" si="23"/>
        <v/>
      </c>
      <c r="CX184" s="7"/>
      <c r="CY184" s="7"/>
      <c r="CZ184" s="7"/>
      <c r="DA184" s="8"/>
      <c r="DU184" s="104" t="str">
        <f t="shared" si="24"/>
        <v/>
      </c>
      <c r="DV184" s="104" t="str">
        <f>ABA!$A184</f>
        <v/>
      </c>
      <c r="DW184" s="98" t="str">
        <f t="shared" si="25"/>
        <v/>
      </c>
    </row>
    <row r="185" ht="15.75" customHeight="1">
      <c r="A185" s="78"/>
      <c r="B185" s="105"/>
      <c r="C185" s="82"/>
      <c r="D185" s="82"/>
      <c r="E185" s="83"/>
      <c r="F185" s="82"/>
      <c r="G185" s="82"/>
      <c r="H185" s="82"/>
      <c r="I185" s="83"/>
      <c r="J185" s="82"/>
      <c r="K185" s="82"/>
      <c r="L185" s="82"/>
      <c r="M185" s="83"/>
      <c r="N185" s="82"/>
      <c r="O185" s="82"/>
      <c r="P185" s="82"/>
      <c r="Q185" s="83"/>
      <c r="R185" s="82"/>
      <c r="S185" s="82"/>
      <c r="T185" s="82"/>
      <c r="U185" s="83"/>
      <c r="V185" s="82"/>
      <c r="W185" s="82"/>
      <c r="X185" s="82"/>
      <c r="Y185" s="83"/>
      <c r="Z185" s="82"/>
      <c r="AA185" s="82"/>
      <c r="AB185" s="82"/>
      <c r="AC185" s="83"/>
      <c r="AD185" s="82"/>
      <c r="AE185" s="82"/>
      <c r="AF185" s="82"/>
      <c r="AG185" s="83"/>
      <c r="AH185" s="82"/>
      <c r="AI185" s="82"/>
      <c r="AJ185" s="82"/>
      <c r="AK185" s="83"/>
      <c r="AL185" s="82"/>
      <c r="AM185" s="82"/>
      <c r="AN185" s="82"/>
      <c r="AO185" s="82"/>
      <c r="AP185" s="84" t="str">
        <f t="shared" si="2"/>
        <v/>
      </c>
      <c r="AQ185" s="9"/>
      <c r="AR185" s="9"/>
      <c r="AS185" s="8"/>
      <c r="AT185" s="9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8"/>
      <c r="BX185" s="9"/>
      <c r="BY185" s="9"/>
      <c r="BZ185" s="9"/>
      <c r="CA185" s="33"/>
      <c r="CB185" s="85" t="str">
        <f t="shared" si="3"/>
        <v/>
      </c>
      <c r="CC185" s="86" t="str">
        <f t="shared" si="4"/>
        <v/>
      </c>
      <c r="CD185" s="86" t="str">
        <f t="shared" si="5"/>
        <v/>
      </c>
      <c r="CE185" s="86" t="str">
        <f t="shared" si="6"/>
        <v/>
      </c>
      <c r="CF185" s="86" t="str">
        <f t="shared" si="7"/>
        <v/>
      </c>
      <c r="CG185" s="86" t="str">
        <f t="shared" si="8"/>
        <v/>
      </c>
      <c r="CH185" s="86" t="str">
        <f t="shared" si="9"/>
        <v/>
      </c>
      <c r="CI185" s="86" t="str">
        <f t="shared" si="10"/>
        <v/>
      </c>
      <c r="CJ185" s="86" t="str">
        <f t="shared" si="11"/>
        <v/>
      </c>
      <c r="CK185" s="86" t="str">
        <f t="shared" si="12"/>
        <v/>
      </c>
      <c r="CL185" s="86" t="str">
        <f t="shared" si="13"/>
        <v/>
      </c>
      <c r="CM185" s="87" t="str">
        <f t="shared" si="14"/>
        <v/>
      </c>
      <c r="CN185" s="88" t="str">
        <f t="shared" si="26"/>
        <v/>
      </c>
      <c r="CO185" s="88" t="str">
        <f t="shared" si="15"/>
        <v/>
      </c>
      <c r="CP185" s="88" t="str">
        <f t="shared" si="16"/>
        <v/>
      </c>
      <c r="CQ185" s="88" t="str">
        <f t="shared" si="17"/>
        <v/>
      </c>
      <c r="CR185" s="88" t="str">
        <f t="shared" si="18"/>
        <v/>
      </c>
      <c r="CS185" s="88" t="str">
        <f t="shared" si="19"/>
        <v/>
      </c>
      <c r="CT185" s="88" t="str">
        <f t="shared" si="20"/>
        <v/>
      </c>
      <c r="CU185" s="88" t="str">
        <f t="shared" si="21"/>
        <v/>
      </c>
      <c r="CV185" s="88" t="str">
        <f t="shared" si="22"/>
        <v/>
      </c>
      <c r="CW185" s="88" t="str">
        <f t="shared" si="23"/>
        <v/>
      </c>
      <c r="CX185" s="7"/>
      <c r="CY185" s="7"/>
      <c r="CZ185" s="7"/>
      <c r="DA185" s="8"/>
      <c r="DU185" s="93" t="str">
        <f t="shared" si="24"/>
        <v/>
      </c>
      <c r="DV185" s="93" t="str">
        <f>ABA!$A185</f>
        <v/>
      </c>
      <c r="DW185" s="82" t="str">
        <f t="shared" si="25"/>
        <v/>
      </c>
    </row>
    <row r="186" ht="15.75" customHeight="1">
      <c r="A186" s="85"/>
      <c r="B186" s="107"/>
      <c r="C186" s="98"/>
      <c r="D186" s="98"/>
      <c r="E186" s="99"/>
      <c r="F186" s="98"/>
      <c r="G186" s="98"/>
      <c r="H186" s="98"/>
      <c r="I186" s="99"/>
      <c r="J186" s="98"/>
      <c r="K186" s="98"/>
      <c r="L186" s="98"/>
      <c r="M186" s="99"/>
      <c r="N186" s="98"/>
      <c r="O186" s="98"/>
      <c r="P186" s="98"/>
      <c r="Q186" s="99"/>
      <c r="R186" s="98"/>
      <c r="S186" s="98"/>
      <c r="T186" s="98"/>
      <c r="U186" s="99"/>
      <c r="V186" s="98"/>
      <c r="W186" s="98"/>
      <c r="X186" s="98"/>
      <c r="Y186" s="100"/>
      <c r="Z186" s="98"/>
      <c r="AA186" s="98"/>
      <c r="AB186" s="98"/>
      <c r="AC186" s="99"/>
      <c r="AD186" s="98"/>
      <c r="AE186" s="98"/>
      <c r="AF186" s="98"/>
      <c r="AG186" s="99"/>
      <c r="AH186" s="98"/>
      <c r="AI186" s="98"/>
      <c r="AJ186" s="98"/>
      <c r="AK186" s="99"/>
      <c r="AL186" s="98"/>
      <c r="AM186" s="98"/>
      <c r="AN186" s="98"/>
      <c r="AO186" s="98"/>
      <c r="AP186" s="84" t="str">
        <f t="shared" si="2"/>
        <v/>
      </c>
      <c r="AQ186" s="9"/>
      <c r="AR186" s="9"/>
      <c r="AS186" s="8"/>
      <c r="AT186" s="9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8"/>
      <c r="BX186" s="9"/>
      <c r="BY186" s="9"/>
      <c r="BZ186" s="9"/>
      <c r="CA186" s="33"/>
      <c r="CB186" s="85" t="str">
        <f t="shared" si="3"/>
        <v/>
      </c>
      <c r="CC186" s="86" t="str">
        <f t="shared" si="4"/>
        <v/>
      </c>
      <c r="CD186" s="86" t="str">
        <f t="shared" si="5"/>
        <v/>
      </c>
      <c r="CE186" s="86" t="str">
        <f t="shared" si="6"/>
        <v/>
      </c>
      <c r="CF186" s="86" t="str">
        <f t="shared" si="7"/>
        <v/>
      </c>
      <c r="CG186" s="86" t="str">
        <f t="shared" si="8"/>
        <v/>
      </c>
      <c r="CH186" s="86" t="str">
        <f t="shared" si="9"/>
        <v/>
      </c>
      <c r="CI186" s="86" t="str">
        <f t="shared" si="10"/>
        <v/>
      </c>
      <c r="CJ186" s="86" t="str">
        <f t="shared" si="11"/>
        <v/>
      </c>
      <c r="CK186" s="86" t="str">
        <f t="shared" si="12"/>
        <v/>
      </c>
      <c r="CL186" s="86" t="str">
        <f t="shared" si="13"/>
        <v/>
      </c>
      <c r="CM186" s="87" t="str">
        <f t="shared" si="14"/>
        <v/>
      </c>
      <c r="CN186" s="88" t="str">
        <f t="shared" si="26"/>
        <v/>
      </c>
      <c r="CO186" s="88" t="str">
        <f t="shared" si="15"/>
        <v/>
      </c>
      <c r="CP186" s="88" t="str">
        <f t="shared" si="16"/>
        <v/>
      </c>
      <c r="CQ186" s="88" t="str">
        <f t="shared" si="17"/>
        <v/>
      </c>
      <c r="CR186" s="88" t="str">
        <f t="shared" si="18"/>
        <v/>
      </c>
      <c r="CS186" s="88" t="str">
        <f t="shared" si="19"/>
        <v/>
      </c>
      <c r="CT186" s="88" t="str">
        <f t="shared" si="20"/>
        <v/>
      </c>
      <c r="CU186" s="88" t="str">
        <f t="shared" si="21"/>
        <v/>
      </c>
      <c r="CV186" s="88" t="str">
        <f t="shared" si="22"/>
        <v/>
      </c>
      <c r="CW186" s="88" t="str">
        <f t="shared" si="23"/>
        <v/>
      </c>
      <c r="CX186" s="7"/>
      <c r="CY186" s="7"/>
      <c r="CZ186" s="7"/>
      <c r="DA186" s="8"/>
      <c r="DU186" s="104" t="str">
        <f t="shared" si="24"/>
        <v/>
      </c>
      <c r="DV186" s="104" t="str">
        <f>ABA!$A186</f>
        <v/>
      </c>
      <c r="DW186" s="98" t="str">
        <f t="shared" si="25"/>
        <v/>
      </c>
    </row>
    <row r="187" ht="15.75" customHeight="1">
      <c r="A187" s="78"/>
      <c r="B187" s="105"/>
      <c r="C187" s="82"/>
      <c r="D187" s="82"/>
      <c r="E187" s="83"/>
      <c r="F187" s="82"/>
      <c r="G187" s="82"/>
      <c r="H187" s="82"/>
      <c r="I187" s="83"/>
      <c r="J187" s="82"/>
      <c r="K187" s="82"/>
      <c r="L187" s="82"/>
      <c r="M187" s="83"/>
      <c r="N187" s="82"/>
      <c r="O187" s="82"/>
      <c r="P187" s="82"/>
      <c r="Q187" s="83"/>
      <c r="R187" s="82"/>
      <c r="S187" s="82"/>
      <c r="T187" s="82"/>
      <c r="U187" s="83"/>
      <c r="V187" s="82"/>
      <c r="W187" s="82"/>
      <c r="X187" s="82"/>
      <c r="Y187" s="83"/>
      <c r="Z187" s="82"/>
      <c r="AA187" s="82"/>
      <c r="AB187" s="82"/>
      <c r="AC187" s="83"/>
      <c r="AD187" s="82"/>
      <c r="AE187" s="82"/>
      <c r="AF187" s="82"/>
      <c r="AG187" s="83"/>
      <c r="AH187" s="82"/>
      <c r="AI187" s="82"/>
      <c r="AJ187" s="82"/>
      <c r="AK187" s="83"/>
      <c r="AL187" s="82"/>
      <c r="AM187" s="82"/>
      <c r="AN187" s="82"/>
      <c r="AO187" s="82"/>
      <c r="AP187" s="84" t="str">
        <f t="shared" si="2"/>
        <v/>
      </c>
      <c r="AQ187" s="9"/>
      <c r="AR187" s="9"/>
      <c r="AS187" s="8"/>
      <c r="AT187" s="9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8"/>
      <c r="BX187" s="9"/>
      <c r="BY187" s="9"/>
      <c r="BZ187" s="9"/>
      <c r="CA187" s="33"/>
      <c r="CB187" s="85" t="str">
        <f t="shared" si="3"/>
        <v/>
      </c>
      <c r="CC187" s="86" t="str">
        <f t="shared" si="4"/>
        <v/>
      </c>
      <c r="CD187" s="86" t="str">
        <f t="shared" si="5"/>
        <v/>
      </c>
      <c r="CE187" s="86" t="str">
        <f t="shared" si="6"/>
        <v/>
      </c>
      <c r="CF187" s="86" t="str">
        <f t="shared" si="7"/>
        <v/>
      </c>
      <c r="CG187" s="86" t="str">
        <f t="shared" si="8"/>
        <v/>
      </c>
      <c r="CH187" s="86" t="str">
        <f t="shared" si="9"/>
        <v/>
      </c>
      <c r="CI187" s="86" t="str">
        <f t="shared" si="10"/>
        <v/>
      </c>
      <c r="CJ187" s="86" t="str">
        <f t="shared" si="11"/>
        <v/>
      </c>
      <c r="CK187" s="86" t="str">
        <f t="shared" si="12"/>
        <v/>
      </c>
      <c r="CL187" s="86" t="str">
        <f t="shared" si="13"/>
        <v/>
      </c>
      <c r="CM187" s="87" t="str">
        <f t="shared" si="14"/>
        <v/>
      </c>
      <c r="CN187" s="88" t="str">
        <f t="shared" si="26"/>
        <v/>
      </c>
      <c r="CO187" s="88" t="str">
        <f t="shared" si="15"/>
        <v/>
      </c>
      <c r="CP187" s="88" t="str">
        <f t="shared" si="16"/>
        <v/>
      </c>
      <c r="CQ187" s="88" t="str">
        <f t="shared" si="17"/>
        <v/>
      </c>
      <c r="CR187" s="88" t="str">
        <f t="shared" si="18"/>
        <v/>
      </c>
      <c r="CS187" s="88" t="str">
        <f t="shared" si="19"/>
        <v/>
      </c>
      <c r="CT187" s="88" t="str">
        <f t="shared" si="20"/>
        <v/>
      </c>
      <c r="CU187" s="88" t="str">
        <f t="shared" si="21"/>
        <v/>
      </c>
      <c r="CV187" s="88" t="str">
        <f t="shared" si="22"/>
        <v/>
      </c>
      <c r="CW187" s="88" t="str">
        <f t="shared" si="23"/>
        <v/>
      </c>
      <c r="CX187" s="7"/>
      <c r="CY187" s="7"/>
      <c r="CZ187" s="7"/>
      <c r="DA187" s="8"/>
      <c r="DU187" s="93" t="str">
        <f t="shared" si="24"/>
        <v/>
      </c>
      <c r="DV187" s="93" t="str">
        <f>ABA!$A187</f>
        <v/>
      </c>
      <c r="DW187" s="82" t="str">
        <f t="shared" si="25"/>
        <v/>
      </c>
    </row>
    <row r="188" ht="15.75" customHeight="1">
      <c r="A188" s="85"/>
      <c r="B188" s="107"/>
      <c r="C188" s="98"/>
      <c r="D188" s="98"/>
      <c r="E188" s="99"/>
      <c r="F188" s="98"/>
      <c r="G188" s="98"/>
      <c r="H188" s="98"/>
      <c r="I188" s="99"/>
      <c r="J188" s="98"/>
      <c r="K188" s="98"/>
      <c r="L188" s="98"/>
      <c r="M188" s="99"/>
      <c r="N188" s="98"/>
      <c r="O188" s="98"/>
      <c r="P188" s="98"/>
      <c r="Q188" s="99"/>
      <c r="R188" s="98"/>
      <c r="S188" s="98"/>
      <c r="T188" s="98"/>
      <c r="U188" s="99"/>
      <c r="V188" s="98"/>
      <c r="W188" s="98"/>
      <c r="X188" s="98"/>
      <c r="Y188" s="100"/>
      <c r="Z188" s="98"/>
      <c r="AA188" s="98"/>
      <c r="AB188" s="98"/>
      <c r="AC188" s="99"/>
      <c r="AD188" s="98"/>
      <c r="AE188" s="98"/>
      <c r="AF188" s="98"/>
      <c r="AG188" s="99"/>
      <c r="AH188" s="98"/>
      <c r="AI188" s="98"/>
      <c r="AJ188" s="98"/>
      <c r="AK188" s="99"/>
      <c r="AL188" s="98"/>
      <c r="AM188" s="98"/>
      <c r="AN188" s="98"/>
      <c r="AO188" s="98"/>
      <c r="AP188" s="84" t="str">
        <f t="shared" si="2"/>
        <v/>
      </c>
      <c r="AQ188" s="9"/>
      <c r="AR188" s="9"/>
      <c r="AS188" s="8"/>
      <c r="AT188" s="9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8"/>
      <c r="BX188" s="9"/>
      <c r="BY188" s="9"/>
      <c r="BZ188" s="9"/>
      <c r="CA188" s="33"/>
      <c r="CB188" s="85" t="str">
        <f t="shared" si="3"/>
        <v/>
      </c>
      <c r="CC188" s="86" t="str">
        <f t="shared" si="4"/>
        <v/>
      </c>
      <c r="CD188" s="86" t="str">
        <f t="shared" si="5"/>
        <v/>
      </c>
      <c r="CE188" s="86" t="str">
        <f t="shared" si="6"/>
        <v/>
      </c>
      <c r="CF188" s="86" t="str">
        <f t="shared" si="7"/>
        <v/>
      </c>
      <c r="CG188" s="86" t="str">
        <f t="shared" si="8"/>
        <v/>
      </c>
      <c r="CH188" s="86" t="str">
        <f t="shared" si="9"/>
        <v/>
      </c>
      <c r="CI188" s="86" t="str">
        <f t="shared" si="10"/>
        <v/>
      </c>
      <c r="CJ188" s="86" t="str">
        <f t="shared" si="11"/>
        <v/>
      </c>
      <c r="CK188" s="86" t="str">
        <f t="shared" si="12"/>
        <v/>
      </c>
      <c r="CL188" s="86" t="str">
        <f t="shared" si="13"/>
        <v/>
      </c>
      <c r="CM188" s="87" t="str">
        <f t="shared" si="14"/>
        <v/>
      </c>
      <c r="CN188" s="88" t="str">
        <f t="shared" si="26"/>
        <v/>
      </c>
      <c r="CO188" s="88" t="str">
        <f t="shared" si="15"/>
        <v/>
      </c>
      <c r="CP188" s="88" t="str">
        <f t="shared" si="16"/>
        <v/>
      </c>
      <c r="CQ188" s="88" t="str">
        <f t="shared" si="17"/>
        <v/>
      </c>
      <c r="CR188" s="88" t="str">
        <f t="shared" si="18"/>
        <v/>
      </c>
      <c r="CS188" s="88" t="str">
        <f t="shared" si="19"/>
        <v/>
      </c>
      <c r="CT188" s="88" t="str">
        <f t="shared" si="20"/>
        <v/>
      </c>
      <c r="CU188" s="88" t="str">
        <f t="shared" si="21"/>
        <v/>
      </c>
      <c r="CV188" s="88" t="str">
        <f t="shared" si="22"/>
        <v/>
      </c>
      <c r="CW188" s="88" t="str">
        <f t="shared" si="23"/>
        <v/>
      </c>
      <c r="CX188" s="7"/>
      <c r="CY188" s="7"/>
      <c r="CZ188" s="7"/>
      <c r="DA188" s="8"/>
      <c r="DU188" s="104" t="str">
        <f t="shared" si="24"/>
        <v/>
      </c>
      <c r="DV188" s="104" t="str">
        <f>ABA!$A188</f>
        <v/>
      </c>
      <c r="DW188" s="98" t="str">
        <f t="shared" si="25"/>
        <v/>
      </c>
    </row>
    <row r="189" ht="15.75" customHeight="1">
      <c r="A189" s="78"/>
      <c r="B189" s="105"/>
      <c r="C189" s="82"/>
      <c r="D189" s="82"/>
      <c r="E189" s="83"/>
      <c r="F189" s="82"/>
      <c r="G189" s="82"/>
      <c r="H189" s="82"/>
      <c r="I189" s="83"/>
      <c r="J189" s="82"/>
      <c r="K189" s="82"/>
      <c r="L189" s="82"/>
      <c r="M189" s="83"/>
      <c r="N189" s="82"/>
      <c r="O189" s="82"/>
      <c r="P189" s="82"/>
      <c r="Q189" s="83"/>
      <c r="R189" s="82"/>
      <c r="S189" s="82"/>
      <c r="T189" s="82"/>
      <c r="U189" s="83"/>
      <c r="V189" s="82"/>
      <c r="W189" s="82"/>
      <c r="X189" s="82"/>
      <c r="Y189" s="83"/>
      <c r="Z189" s="82"/>
      <c r="AA189" s="82"/>
      <c r="AB189" s="82"/>
      <c r="AC189" s="83"/>
      <c r="AD189" s="82"/>
      <c r="AE189" s="82"/>
      <c r="AF189" s="82"/>
      <c r="AG189" s="83"/>
      <c r="AH189" s="82"/>
      <c r="AI189" s="82"/>
      <c r="AJ189" s="82"/>
      <c r="AK189" s="83"/>
      <c r="AL189" s="82"/>
      <c r="AM189" s="82"/>
      <c r="AN189" s="82"/>
      <c r="AO189" s="82"/>
      <c r="AP189" s="84" t="str">
        <f t="shared" si="2"/>
        <v/>
      </c>
      <c r="AQ189" s="9"/>
      <c r="AR189" s="9"/>
      <c r="AS189" s="8"/>
      <c r="AT189" s="9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8"/>
      <c r="BX189" s="9"/>
      <c r="BY189" s="9"/>
      <c r="BZ189" s="9"/>
      <c r="CA189" s="33"/>
      <c r="CB189" s="85" t="str">
        <f t="shared" si="3"/>
        <v/>
      </c>
      <c r="CC189" s="86" t="str">
        <f t="shared" si="4"/>
        <v/>
      </c>
      <c r="CD189" s="86" t="str">
        <f t="shared" si="5"/>
        <v/>
      </c>
      <c r="CE189" s="86" t="str">
        <f t="shared" si="6"/>
        <v/>
      </c>
      <c r="CF189" s="86" t="str">
        <f t="shared" si="7"/>
        <v/>
      </c>
      <c r="CG189" s="86" t="str">
        <f t="shared" si="8"/>
        <v/>
      </c>
      <c r="CH189" s="86" t="str">
        <f t="shared" si="9"/>
        <v/>
      </c>
      <c r="CI189" s="86" t="str">
        <f t="shared" si="10"/>
        <v/>
      </c>
      <c r="CJ189" s="86" t="str">
        <f t="shared" si="11"/>
        <v/>
      </c>
      <c r="CK189" s="86" t="str">
        <f t="shared" si="12"/>
        <v/>
      </c>
      <c r="CL189" s="86" t="str">
        <f t="shared" si="13"/>
        <v/>
      </c>
      <c r="CM189" s="87" t="str">
        <f t="shared" si="14"/>
        <v/>
      </c>
      <c r="CN189" s="88" t="str">
        <f t="shared" si="26"/>
        <v/>
      </c>
      <c r="CO189" s="88" t="str">
        <f t="shared" si="15"/>
        <v/>
      </c>
      <c r="CP189" s="88" t="str">
        <f t="shared" si="16"/>
        <v/>
      </c>
      <c r="CQ189" s="88" t="str">
        <f t="shared" si="17"/>
        <v/>
      </c>
      <c r="CR189" s="88" t="str">
        <f t="shared" si="18"/>
        <v/>
      </c>
      <c r="CS189" s="88" t="str">
        <f t="shared" si="19"/>
        <v/>
      </c>
      <c r="CT189" s="88" t="str">
        <f t="shared" si="20"/>
        <v/>
      </c>
      <c r="CU189" s="88" t="str">
        <f t="shared" si="21"/>
        <v/>
      </c>
      <c r="CV189" s="88" t="str">
        <f t="shared" si="22"/>
        <v/>
      </c>
      <c r="CW189" s="88" t="str">
        <f t="shared" si="23"/>
        <v/>
      </c>
      <c r="CX189" s="7"/>
      <c r="CY189" s="7"/>
      <c r="CZ189" s="7"/>
      <c r="DA189" s="8"/>
      <c r="DU189" s="93" t="str">
        <f t="shared" si="24"/>
        <v/>
      </c>
      <c r="DV189" s="93" t="str">
        <f>ABA!$A189</f>
        <v/>
      </c>
      <c r="DW189" s="82" t="str">
        <f t="shared" si="25"/>
        <v/>
      </c>
    </row>
    <row r="190" ht="15.75" customHeight="1">
      <c r="A190" s="85"/>
      <c r="B190" s="107"/>
      <c r="C190" s="98"/>
      <c r="D190" s="98"/>
      <c r="E190" s="99"/>
      <c r="F190" s="98"/>
      <c r="G190" s="98"/>
      <c r="H190" s="98"/>
      <c r="I190" s="99"/>
      <c r="J190" s="98"/>
      <c r="K190" s="98"/>
      <c r="L190" s="98"/>
      <c r="M190" s="99"/>
      <c r="N190" s="98"/>
      <c r="O190" s="98"/>
      <c r="P190" s="98"/>
      <c r="Q190" s="99"/>
      <c r="R190" s="98"/>
      <c r="S190" s="98"/>
      <c r="T190" s="98"/>
      <c r="U190" s="99"/>
      <c r="V190" s="98"/>
      <c r="W190" s="98"/>
      <c r="X190" s="98"/>
      <c r="Y190" s="100"/>
      <c r="Z190" s="98"/>
      <c r="AA190" s="98"/>
      <c r="AB190" s="98"/>
      <c r="AC190" s="99"/>
      <c r="AD190" s="98"/>
      <c r="AE190" s="98"/>
      <c r="AF190" s="98"/>
      <c r="AG190" s="99"/>
      <c r="AH190" s="98"/>
      <c r="AI190" s="98"/>
      <c r="AJ190" s="98"/>
      <c r="AK190" s="99"/>
      <c r="AL190" s="98"/>
      <c r="AM190" s="98"/>
      <c r="AN190" s="98"/>
      <c r="AO190" s="98"/>
      <c r="AP190" s="84" t="str">
        <f t="shared" si="2"/>
        <v/>
      </c>
      <c r="AQ190" s="9"/>
      <c r="AR190" s="9"/>
      <c r="AS190" s="8"/>
      <c r="AT190" s="9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8"/>
      <c r="BX190" s="9"/>
      <c r="BY190" s="9"/>
      <c r="BZ190" s="9"/>
      <c r="CA190" s="33"/>
      <c r="CB190" s="85" t="str">
        <f t="shared" si="3"/>
        <v/>
      </c>
      <c r="CC190" s="86" t="str">
        <f t="shared" si="4"/>
        <v/>
      </c>
      <c r="CD190" s="86" t="str">
        <f t="shared" si="5"/>
        <v/>
      </c>
      <c r="CE190" s="86" t="str">
        <f t="shared" si="6"/>
        <v/>
      </c>
      <c r="CF190" s="86" t="str">
        <f t="shared" si="7"/>
        <v/>
      </c>
      <c r="CG190" s="86" t="str">
        <f t="shared" si="8"/>
        <v/>
      </c>
      <c r="CH190" s="86" t="str">
        <f t="shared" si="9"/>
        <v/>
      </c>
      <c r="CI190" s="86" t="str">
        <f t="shared" si="10"/>
        <v/>
      </c>
      <c r="CJ190" s="86" t="str">
        <f t="shared" si="11"/>
        <v/>
      </c>
      <c r="CK190" s="86" t="str">
        <f t="shared" si="12"/>
        <v/>
      </c>
      <c r="CL190" s="86" t="str">
        <f t="shared" si="13"/>
        <v/>
      </c>
      <c r="CM190" s="87" t="str">
        <f t="shared" si="14"/>
        <v/>
      </c>
      <c r="CN190" s="88" t="str">
        <f t="shared" si="26"/>
        <v/>
      </c>
      <c r="CO190" s="88" t="str">
        <f t="shared" si="15"/>
        <v/>
      </c>
      <c r="CP190" s="88" t="str">
        <f t="shared" si="16"/>
        <v/>
      </c>
      <c r="CQ190" s="88" t="str">
        <f t="shared" si="17"/>
        <v/>
      </c>
      <c r="CR190" s="88" t="str">
        <f t="shared" si="18"/>
        <v/>
      </c>
      <c r="CS190" s="88" t="str">
        <f t="shared" si="19"/>
        <v/>
      </c>
      <c r="CT190" s="88" t="str">
        <f t="shared" si="20"/>
        <v/>
      </c>
      <c r="CU190" s="88" t="str">
        <f t="shared" si="21"/>
        <v/>
      </c>
      <c r="CV190" s="88" t="str">
        <f t="shared" si="22"/>
        <v/>
      </c>
      <c r="CW190" s="88" t="str">
        <f t="shared" si="23"/>
        <v/>
      </c>
      <c r="CX190" s="7"/>
      <c r="CY190" s="7"/>
      <c r="CZ190" s="7"/>
      <c r="DA190" s="8"/>
      <c r="DU190" s="104" t="str">
        <f t="shared" si="24"/>
        <v/>
      </c>
      <c r="DV190" s="104" t="str">
        <f>ABA!$A190</f>
        <v/>
      </c>
      <c r="DW190" s="98" t="str">
        <f t="shared" si="25"/>
        <v/>
      </c>
    </row>
    <row r="191" ht="15.75" customHeight="1">
      <c r="A191" s="78"/>
      <c r="B191" s="105"/>
      <c r="C191" s="82"/>
      <c r="D191" s="82"/>
      <c r="E191" s="83"/>
      <c r="F191" s="82"/>
      <c r="G191" s="82"/>
      <c r="H191" s="82"/>
      <c r="I191" s="83"/>
      <c r="J191" s="82"/>
      <c r="K191" s="82"/>
      <c r="L191" s="82"/>
      <c r="M191" s="83"/>
      <c r="N191" s="82"/>
      <c r="O191" s="82"/>
      <c r="P191" s="82"/>
      <c r="Q191" s="83"/>
      <c r="R191" s="82"/>
      <c r="S191" s="82"/>
      <c r="T191" s="82"/>
      <c r="U191" s="83"/>
      <c r="V191" s="82"/>
      <c r="W191" s="82"/>
      <c r="X191" s="82"/>
      <c r="Y191" s="83"/>
      <c r="Z191" s="82"/>
      <c r="AA191" s="82"/>
      <c r="AB191" s="82"/>
      <c r="AC191" s="83"/>
      <c r="AD191" s="82"/>
      <c r="AE191" s="82"/>
      <c r="AF191" s="82"/>
      <c r="AG191" s="83"/>
      <c r="AH191" s="82"/>
      <c r="AI191" s="82"/>
      <c r="AJ191" s="82"/>
      <c r="AK191" s="83"/>
      <c r="AL191" s="82"/>
      <c r="AM191" s="82"/>
      <c r="AN191" s="82"/>
      <c r="AO191" s="82"/>
      <c r="AP191" s="84" t="str">
        <f t="shared" si="2"/>
        <v/>
      </c>
      <c r="AQ191" s="9"/>
      <c r="AR191" s="9"/>
      <c r="AS191" s="8"/>
      <c r="AT191" s="9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8"/>
      <c r="BX191" s="9"/>
      <c r="BY191" s="9"/>
      <c r="BZ191" s="9"/>
      <c r="CA191" s="33"/>
      <c r="CB191" s="85" t="str">
        <f t="shared" si="3"/>
        <v/>
      </c>
      <c r="CC191" s="86" t="str">
        <f t="shared" si="4"/>
        <v/>
      </c>
      <c r="CD191" s="86" t="str">
        <f t="shared" si="5"/>
        <v/>
      </c>
      <c r="CE191" s="86" t="str">
        <f t="shared" si="6"/>
        <v/>
      </c>
      <c r="CF191" s="86" t="str">
        <f t="shared" si="7"/>
        <v/>
      </c>
      <c r="CG191" s="86" t="str">
        <f t="shared" si="8"/>
        <v/>
      </c>
      <c r="CH191" s="86" t="str">
        <f t="shared" si="9"/>
        <v/>
      </c>
      <c r="CI191" s="86" t="str">
        <f t="shared" si="10"/>
        <v/>
      </c>
      <c r="CJ191" s="86" t="str">
        <f t="shared" si="11"/>
        <v/>
      </c>
      <c r="CK191" s="86" t="str">
        <f t="shared" si="12"/>
        <v/>
      </c>
      <c r="CL191" s="86" t="str">
        <f t="shared" si="13"/>
        <v/>
      </c>
      <c r="CM191" s="87" t="str">
        <f t="shared" si="14"/>
        <v/>
      </c>
      <c r="CN191" s="88" t="str">
        <f t="shared" si="26"/>
        <v/>
      </c>
      <c r="CO191" s="88" t="str">
        <f t="shared" si="15"/>
        <v/>
      </c>
      <c r="CP191" s="88" t="str">
        <f t="shared" si="16"/>
        <v/>
      </c>
      <c r="CQ191" s="88" t="str">
        <f t="shared" si="17"/>
        <v/>
      </c>
      <c r="CR191" s="88" t="str">
        <f t="shared" si="18"/>
        <v/>
      </c>
      <c r="CS191" s="88" t="str">
        <f t="shared" si="19"/>
        <v/>
      </c>
      <c r="CT191" s="88" t="str">
        <f t="shared" si="20"/>
        <v/>
      </c>
      <c r="CU191" s="88" t="str">
        <f t="shared" si="21"/>
        <v/>
      </c>
      <c r="CV191" s="88" t="str">
        <f t="shared" si="22"/>
        <v/>
      </c>
      <c r="CW191" s="88" t="str">
        <f t="shared" si="23"/>
        <v/>
      </c>
      <c r="CX191" s="7"/>
      <c r="CY191" s="7"/>
      <c r="CZ191" s="7"/>
      <c r="DA191" s="8"/>
      <c r="DU191" s="93" t="str">
        <f t="shared" si="24"/>
        <v/>
      </c>
      <c r="DV191" s="93" t="str">
        <f>ABA!$A191</f>
        <v/>
      </c>
      <c r="DW191" s="82" t="str">
        <f t="shared" si="25"/>
        <v/>
      </c>
    </row>
    <row r="192" ht="15.75" customHeight="1">
      <c r="A192" s="85"/>
      <c r="B192" s="107"/>
      <c r="C192" s="98"/>
      <c r="D192" s="98"/>
      <c r="E192" s="99"/>
      <c r="F192" s="98"/>
      <c r="G192" s="98"/>
      <c r="H192" s="98"/>
      <c r="I192" s="99"/>
      <c r="J192" s="98"/>
      <c r="K192" s="98"/>
      <c r="L192" s="98"/>
      <c r="M192" s="99"/>
      <c r="N192" s="98"/>
      <c r="O192" s="98"/>
      <c r="P192" s="98"/>
      <c r="Q192" s="99"/>
      <c r="R192" s="98"/>
      <c r="S192" s="98"/>
      <c r="T192" s="98"/>
      <c r="U192" s="99"/>
      <c r="V192" s="98"/>
      <c r="W192" s="98"/>
      <c r="X192" s="98"/>
      <c r="Y192" s="100"/>
      <c r="Z192" s="98"/>
      <c r="AA192" s="98"/>
      <c r="AB192" s="98"/>
      <c r="AC192" s="99"/>
      <c r="AD192" s="98"/>
      <c r="AE192" s="98"/>
      <c r="AF192" s="98"/>
      <c r="AG192" s="99"/>
      <c r="AH192" s="98"/>
      <c r="AI192" s="98"/>
      <c r="AJ192" s="98"/>
      <c r="AK192" s="99"/>
      <c r="AL192" s="98"/>
      <c r="AM192" s="98"/>
      <c r="AN192" s="98"/>
      <c r="AO192" s="98"/>
      <c r="AP192" s="84" t="str">
        <f t="shared" si="2"/>
        <v/>
      </c>
      <c r="AQ192" s="9"/>
      <c r="AR192" s="9"/>
      <c r="AS192" s="8"/>
      <c r="AT192" s="9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8"/>
      <c r="BX192" s="9"/>
      <c r="BY192" s="9"/>
      <c r="BZ192" s="9"/>
      <c r="CA192" s="33"/>
      <c r="CB192" s="85" t="str">
        <f t="shared" si="3"/>
        <v/>
      </c>
      <c r="CC192" s="86" t="str">
        <f t="shared" si="4"/>
        <v/>
      </c>
      <c r="CD192" s="86" t="str">
        <f t="shared" si="5"/>
        <v/>
      </c>
      <c r="CE192" s="86" t="str">
        <f t="shared" si="6"/>
        <v/>
      </c>
      <c r="CF192" s="86" t="str">
        <f t="shared" si="7"/>
        <v/>
      </c>
      <c r="CG192" s="86" t="str">
        <f t="shared" si="8"/>
        <v/>
      </c>
      <c r="CH192" s="86" t="str">
        <f t="shared" si="9"/>
        <v/>
      </c>
      <c r="CI192" s="86" t="str">
        <f t="shared" si="10"/>
        <v/>
      </c>
      <c r="CJ192" s="86" t="str">
        <f t="shared" si="11"/>
        <v/>
      </c>
      <c r="CK192" s="86" t="str">
        <f t="shared" si="12"/>
        <v/>
      </c>
      <c r="CL192" s="86" t="str">
        <f t="shared" si="13"/>
        <v/>
      </c>
      <c r="CM192" s="87" t="str">
        <f t="shared" si="14"/>
        <v/>
      </c>
      <c r="CN192" s="88" t="str">
        <f t="shared" si="26"/>
        <v/>
      </c>
      <c r="CO192" s="88" t="str">
        <f t="shared" si="15"/>
        <v/>
      </c>
      <c r="CP192" s="88" t="str">
        <f t="shared" si="16"/>
        <v/>
      </c>
      <c r="CQ192" s="88" t="str">
        <f t="shared" si="17"/>
        <v/>
      </c>
      <c r="CR192" s="88" t="str">
        <f t="shared" si="18"/>
        <v/>
      </c>
      <c r="CS192" s="88" t="str">
        <f t="shared" si="19"/>
        <v/>
      </c>
      <c r="CT192" s="88" t="str">
        <f t="shared" si="20"/>
        <v/>
      </c>
      <c r="CU192" s="88" t="str">
        <f t="shared" si="21"/>
        <v/>
      </c>
      <c r="CV192" s="88" t="str">
        <f t="shared" si="22"/>
        <v/>
      </c>
      <c r="CW192" s="88" t="str">
        <f t="shared" si="23"/>
        <v/>
      </c>
      <c r="CX192" s="7"/>
      <c r="CY192" s="7"/>
      <c r="CZ192" s="7"/>
      <c r="DA192" s="8"/>
      <c r="DU192" s="104" t="str">
        <f t="shared" si="24"/>
        <v/>
      </c>
      <c r="DV192" s="104" t="str">
        <f>ABA!$A192</f>
        <v/>
      </c>
      <c r="DW192" s="98" t="str">
        <f t="shared" si="25"/>
        <v/>
      </c>
    </row>
    <row r="193" ht="15.75" customHeight="1">
      <c r="A193" s="78"/>
      <c r="B193" s="105"/>
      <c r="C193" s="82"/>
      <c r="D193" s="82"/>
      <c r="E193" s="83"/>
      <c r="F193" s="82"/>
      <c r="G193" s="82"/>
      <c r="H193" s="82"/>
      <c r="I193" s="83"/>
      <c r="J193" s="82"/>
      <c r="K193" s="82"/>
      <c r="L193" s="82"/>
      <c r="M193" s="83"/>
      <c r="N193" s="82"/>
      <c r="O193" s="82"/>
      <c r="P193" s="82"/>
      <c r="Q193" s="83"/>
      <c r="R193" s="82"/>
      <c r="S193" s="82"/>
      <c r="T193" s="82"/>
      <c r="U193" s="83"/>
      <c r="V193" s="82"/>
      <c r="W193" s="82"/>
      <c r="X193" s="82"/>
      <c r="Y193" s="83"/>
      <c r="Z193" s="82"/>
      <c r="AA193" s="82"/>
      <c r="AB193" s="82"/>
      <c r="AC193" s="83"/>
      <c r="AD193" s="82"/>
      <c r="AE193" s="82"/>
      <c r="AF193" s="82"/>
      <c r="AG193" s="83"/>
      <c r="AH193" s="82"/>
      <c r="AI193" s="82"/>
      <c r="AJ193" s="82"/>
      <c r="AK193" s="83"/>
      <c r="AL193" s="82"/>
      <c r="AM193" s="82"/>
      <c r="AN193" s="82"/>
      <c r="AO193" s="82"/>
      <c r="AP193" s="84" t="str">
        <f t="shared" si="2"/>
        <v/>
      </c>
      <c r="AQ193" s="9"/>
      <c r="AR193" s="9"/>
      <c r="AS193" s="8"/>
      <c r="AT193" s="9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8"/>
      <c r="BX193" s="9"/>
      <c r="BY193" s="9"/>
      <c r="BZ193" s="9"/>
      <c r="CA193" s="33"/>
      <c r="CB193" s="85" t="str">
        <f t="shared" si="3"/>
        <v/>
      </c>
      <c r="CC193" s="86" t="str">
        <f t="shared" si="4"/>
        <v/>
      </c>
      <c r="CD193" s="86" t="str">
        <f t="shared" si="5"/>
        <v/>
      </c>
      <c r="CE193" s="86" t="str">
        <f t="shared" si="6"/>
        <v/>
      </c>
      <c r="CF193" s="86" t="str">
        <f t="shared" si="7"/>
        <v/>
      </c>
      <c r="CG193" s="86" t="str">
        <f t="shared" si="8"/>
        <v/>
      </c>
      <c r="CH193" s="86" t="str">
        <f t="shared" si="9"/>
        <v/>
      </c>
      <c r="CI193" s="86" t="str">
        <f t="shared" si="10"/>
        <v/>
      </c>
      <c r="CJ193" s="86" t="str">
        <f t="shared" si="11"/>
        <v/>
      </c>
      <c r="CK193" s="86" t="str">
        <f t="shared" si="12"/>
        <v/>
      </c>
      <c r="CL193" s="86" t="str">
        <f t="shared" si="13"/>
        <v/>
      </c>
      <c r="CM193" s="87" t="str">
        <f t="shared" si="14"/>
        <v/>
      </c>
      <c r="CN193" s="88" t="str">
        <f t="shared" si="26"/>
        <v/>
      </c>
      <c r="CO193" s="88" t="str">
        <f t="shared" si="15"/>
        <v/>
      </c>
      <c r="CP193" s="88" t="str">
        <f t="shared" si="16"/>
        <v/>
      </c>
      <c r="CQ193" s="88" t="str">
        <f t="shared" si="17"/>
        <v/>
      </c>
      <c r="CR193" s="88" t="str">
        <f t="shared" si="18"/>
        <v/>
      </c>
      <c r="CS193" s="88" t="str">
        <f t="shared" si="19"/>
        <v/>
      </c>
      <c r="CT193" s="88" t="str">
        <f t="shared" si="20"/>
        <v/>
      </c>
      <c r="CU193" s="88" t="str">
        <f t="shared" si="21"/>
        <v/>
      </c>
      <c r="CV193" s="88" t="str">
        <f t="shared" si="22"/>
        <v/>
      </c>
      <c r="CW193" s="88" t="str">
        <f t="shared" si="23"/>
        <v/>
      </c>
      <c r="CX193" s="7"/>
      <c r="CY193" s="7"/>
      <c r="CZ193" s="7"/>
      <c r="DA193" s="8"/>
      <c r="DU193" s="93" t="str">
        <f t="shared" si="24"/>
        <v/>
      </c>
      <c r="DV193" s="93" t="str">
        <f>ABA!$A193</f>
        <v/>
      </c>
      <c r="DW193" s="82" t="str">
        <f t="shared" si="25"/>
        <v/>
      </c>
    </row>
    <row r="194" ht="15.75" customHeight="1">
      <c r="A194" s="85"/>
      <c r="B194" s="107"/>
      <c r="C194" s="98"/>
      <c r="D194" s="98"/>
      <c r="E194" s="99"/>
      <c r="F194" s="98"/>
      <c r="G194" s="98"/>
      <c r="H194" s="98"/>
      <c r="I194" s="99"/>
      <c r="J194" s="98"/>
      <c r="K194" s="98"/>
      <c r="L194" s="98"/>
      <c r="M194" s="99"/>
      <c r="N194" s="98"/>
      <c r="O194" s="98"/>
      <c r="P194" s="98"/>
      <c r="Q194" s="99"/>
      <c r="R194" s="98"/>
      <c r="S194" s="98"/>
      <c r="T194" s="98"/>
      <c r="U194" s="99"/>
      <c r="V194" s="98"/>
      <c r="W194" s="98"/>
      <c r="X194" s="98"/>
      <c r="Y194" s="100"/>
      <c r="Z194" s="98"/>
      <c r="AA194" s="98"/>
      <c r="AB194" s="98"/>
      <c r="AC194" s="99"/>
      <c r="AD194" s="98"/>
      <c r="AE194" s="98"/>
      <c r="AF194" s="98"/>
      <c r="AG194" s="99"/>
      <c r="AH194" s="98"/>
      <c r="AI194" s="98"/>
      <c r="AJ194" s="98"/>
      <c r="AK194" s="99"/>
      <c r="AL194" s="98"/>
      <c r="AM194" s="98"/>
      <c r="AN194" s="98"/>
      <c r="AO194" s="98"/>
      <c r="AP194" s="84" t="str">
        <f t="shared" si="2"/>
        <v/>
      </c>
      <c r="AQ194" s="9"/>
      <c r="AR194" s="9"/>
      <c r="AS194" s="8"/>
      <c r="AT194" s="9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8"/>
      <c r="BX194" s="9"/>
      <c r="BY194" s="9"/>
      <c r="BZ194" s="9"/>
      <c r="CA194" s="33"/>
      <c r="CB194" s="85" t="str">
        <f t="shared" si="3"/>
        <v/>
      </c>
      <c r="CC194" s="86" t="str">
        <f t="shared" si="4"/>
        <v/>
      </c>
      <c r="CD194" s="86" t="str">
        <f t="shared" si="5"/>
        <v/>
      </c>
      <c r="CE194" s="86" t="str">
        <f t="shared" si="6"/>
        <v/>
      </c>
      <c r="CF194" s="86" t="str">
        <f t="shared" si="7"/>
        <v/>
      </c>
      <c r="CG194" s="86" t="str">
        <f t="shared" si="8"/>
        <v/>
      </c>
      <c r="CH194" s="86" t="str">
        <f t="shared" si="9"/>
        <v/>
      </c>
      <c r="CI194" s="86" t="str">
        <f t="shared" si="10"/>
        <v/>
      </c>
      <c r="CJ194" s="86" t="str">
        <f t="shared" si="11"/>
        <v/>
      </c>
      <c r="CK194" s="86" t="str">
        <f t="shared" si="12"/>
        <v/>
      </c>
      <c r="CL194" s="86" t="str">
        <f t="shared" si="13"/>
        <v/>
      </c>
      <c r="CM194" s="87" t="str">
        <f t="shared" si="14"/>
        <v/>
      </c>
      <c r="CN194" s="88" t="str">
        <f t="shared" si="26"/>
        <v/>
      </c>
      <c r="CO194" s="88" t="str">
        <f t="shared" si="15"/>
        <v/>
      </c>
      <c r="CP194" s="88" t="str">
        <f t="shared" si="16"/>
        <v/>
      </c>
      <c r="CQ194" s="88" t="str">
        <f t="shared" si="17"/>
        <v/>
      </c>
      <c r="CR194" s="88" t="str">
        <f t="shared" si="18"/>
        <v/>
      </c>
      <c r="CS194" s="88" t="str">
        <f t="shared" si="19"/>
        <v/>
      </c>
      <c r="CT194" s="88" t="str">
        <f t="shared" si="20"/>
        <v/>
      </c>
      <c r="CU194" s="88" t="str">
        <f t="shared" si="21"/>
        <v/>
      </c>
      <c r="CV194" s="88" t="str">
        <f t="shared" si="22"/>
        <v/>
      </c>
      <c r="CW194" s="88" t="str">
        <f t="shared" si="23"/>
        <v/>
      </c>
      <c r="CX194" s="7"/>
      <c r="CY194" s="7"/>
      <c r="CZ194" s="7"/>
      <c r="DA194" s="8"/>
      <c r="DU194" s="104" t="str">
        <f t="shared" si="24"/>
        <v/>
      </c>
      <c r="DV194" s="104" t="str">
        <f>ABA!$A194</f>
        <v/>
      </c>
      <c r="DW194" s="98" t="str">
        <f t="shared" si="25"/>
        <v/>
      </c>
    </row>
    <row r="195" ht="15.75" customHeight="1">
      <c r="A195" s="78"/>
      <c r="B195" s="105"/>
      <c r="C195" s="82"/>
      <c r="D195" s="82"/>
      <c r="E195" s="83"/>
      <c r="F195" s="82"/>
      <c r="G195" s="82"/>
      <c r="H195" s="82"/>
      <c r="I195" s="83"/>
      <c r="J195" s="82"/>
      <c r="K195" s="82"/>
      <c r="L195" s="82"/>
      <c r="M195" s="83"/>
      <c r="N195" s="82"/>
      <c r="O195" s="82"/>
      <c r="P195" s="82"/>
      <c r="Q195" s="83"/>
      <c r="R195" s="82"/>
      <c r="S195" s="82"/>
      <c r="T195" s="82"/>
      <c r="U195" s="83"/>
      <c r="V195" s="82"/>
      <c r="W195" s="82"/>
      <c r="X195" s="82"/>
      <c r="Y195" s="83"/>
      <c r="Z195" s="82"/>
      <c r="AA195" s="82"/>
      <c r="AB195" s="82"/>
      <c r="AC195" s="83"/>
      <c r="AD195" s="82"/>
      <c r="AE195" s="82"/>
      <c r="AF195" s="82"/>
      <c r="AG195" s="83"/>
      <c r="AH195" s="82"/>
      <c r="AI195" s="82"/>
      <c r="AJ195" s="82"/>
      <c r="AK195" s="83"/>
      <c r="AL195" s="82"/>
      <c r="AM195" s="82"/>
      <c r="AN195" s="82"/>
      <c r="AO195" s="82"/>
      <c r="AP195" s="84" t="str">
        <f t="shared" si="2"/>
        <v/>
      </c>
      <c r="AQ195" s="9"/>
      <c r="AR195" s="9"/>
      <c r="AS195" s="8"/>
      <c r="AT195" s="9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8"/>
      <c r="BX195" s="9"/>
      <c r="BY195" s="9"/>
      <c r="BZ195" s="9"/>
      <c r="CA195" s="33"/>
      <c r="CB195" s="85" t="str">
        <f t="shared" si="3"/>
        <v/>
      </c>
      <c r="CC195" s="86" t="str">
        <f t="shared" si="4"/>
        <v/>
      </c>
      <c r="CD195" s="86" t="str">
        <f t="shared" si="5"/>
        <v/>
      </c>
      <c r="CE195" s="86" t="str">
        <f t="shared" si="6"/>
        <v/>
      </c>
      <c r="CF195" s="86" t="str">
        <f t="shared" si="7"/>
        <v/>
      </c>
      <c r="CG195" s="86" t="str">
        <f t="shared" si="8"/>
        <v/>
      </c>
      <c r="CH195" s="86" t="str">
        <f t="shared" si="9"/>
        <v/>
      </c>
      <c r="CI195" s="86" t="str">
        <f t="shared" si="10"/>
        <v/>
      </c>
      <c r="CJ195" s="86" t="str">
        <f t="shared" si="11"/>
        <v/>
      </c>
      <c r="CK195" s="86" t="str">
        <f t="shared" si="12"/>
        <v/>
      </c>
      <c r="CL195" s="86" t="str">
        <f t="shared" si="13"/>
        <v/>
      </c>
      <c r="CM195" s="87" t="str">
        <f t="shared" si="14"/>
        <v/>
      </c>
      <c r="CN195" s="88" t="str">
        <f t="shared" si="26"/>
        <v/>
      </c>
      <c r="CO195" s="88" t="str">
        <f t="shared" si="15"/>
        <v/>
      </c>
      <c r="CP195" s="88" t="str">
        <f t="shared" si="16"/>
        <v/>
      </c>
      <c r="CQ195" s="88" t="str">
        <f t="shared" si="17"/>
        <v/>
      </c>
      <c r="CR195" s="88" t="str">
        <f t="shared" si="18"/>
        <v/>
      </c>
      <c r="CS195" s="88" t="str">
        <f t="shared" si="19"/>
        <v/>
      </c>
      <c r="CT195" s="88" t="str">
        <f t="shared" si="20"/>
        <v/>
      </c>
      <c r="CU195" s="88" t="str">
        <f t="shared" si="21"/>
        <v/>
      </c>
      <c r="CV195" s="88" t="str">
        <f t="shared" si="22"/>
        <v/>
      </c>
      <c r="CW195" s="88" t="str">
        <f t="shared" si="23"/>
        <v/>
      </c>
      <c r="CX195" s="7"/>
      <c r="CY195" s="7"/>
      <c r="CZ195" s="7"/>
      <c r="DA195" s="8"/>
      <c r="DU195" s="93" t="str">
        <f t="shared" si="24"/>
        <v/>
      </c>
      <c r="DV195" s="93" t="str">
        <f>ABA!$A195</f>
        <v/>
      </c>
      <c r="DW195" s="82" t="str">
        <f t="shared" si="25"/>
        <v/>
      </c>
    </row>
    <row r="196" ht="15.75" customHeight="1">
      <c r="A196" s="85"/>
      <c r="B196" s="107"/>
      <c r="C196" s="98"/>
      <c r="D196" s="98"/>
      <c r="E196" s="99"/>
      <c r="F196" s="98"/>
      <c r="G196" s="98"/>
      <c r="H196" s="98"/>
      <c r="I196" s="99"/>
      <c r="J196" s="98"/>
      <c r="K196" s="98"/>
      <c r="L196" s="98"/>
      <c r="M196" s="99"/>
      <c r="N196" s="98"/>
      <c r="O196" s="98"/>
      <c r="P196" s="98"/>
      <c r="Q196" s="99"/>
      <c r="R196" s="98"/>
      <c r="S196" s="98"/>
      <c r="T196" s="98"/>
      <c r="U196" s="99"/>
      <c r="V196" s="98"/>
      <c r="W196" s="98"/>
      <c r="X196" s="98"/>
      <c r="Y196" s="100"/>
      <c r="Z196" s="98"/>
      <c r="AA196" s="98"/>
      <c r="AB196" s="98"/>
      <c r="AC196" s="99"/>
      <c r="AD196" s="98"/>
      <c r="AE196" s="98"/>
      <c r="AF196" s="98"/>
      <c r="AG196" s="99"/>
      <c r="AH196" s="98"/>
      <c r="AI196" s="98"/>
      <c r="AJ196" s="98"/>
      <c r="AK196" s="99"/>
      <c r="AL196" s="98"/>
      <c r="AM196" s="98"/>
      <c r="AN196" s="98"/>
      <c r="AO196" s="98"/>
      <c r="AP196" s="84" t="str">
        <f t="shared" si="2"/>
        <v/>
      </c>
      <c r="AQ196" s="9"/>
      <c r="AR196" s="9"/>
      <c r="AS196" s="8"/>
      <c r="AT196" s="9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8"/>
      <c r="BX196" s="9"/>
      <c r="BY196" s="9"/>
      <c r="BZ196" s="9"/>
      <c r="CA196" s="33"/>
      <c r="CB196" s="85" t="str">
        <f t="shared" si="3"/>
        <v/>
      </c>
      <c r="CC196" s="86" t="str">
        <f t="shared" si="4"/>
        <v/>
      </c>
      <c r="CD196" s="86" t="str">
        <f t="shared" si="5"/>
        <v/>
      </c>
      <c r="CE196" s="86" t="str">
        <f t="shared" si="6"/>
        <v/>
      </c>
      <c r="CF196" s="86" t="str">
        <f t="shared" si="7"/>
        <v/>
      </c>
      <c r="CG196" s="86" t="str">
        <f t="shared" si="8"/>
        <v/>
      </c>
      <c r="CH196" s="86" t="str">
        <f t="shared" si="9"/>
        <v/>
      </c>
      <c r="CI196" s="86" t="str">
        <f t="shared" si="10"/>
        <v/>
      </c>
      <c r="CJ196" s="86" t="str">
        <f t="shared" si="11"/>
        <v/>
      </c>
      <c r="CK196" s="86" t="str">
        <f t="shared" si="12"/>
        <v/>
      </c>
      <c r="CL196" s="86" t="str">
        <f t="shared" si="13"/>
        <v/>
      </c>
      <c r="CM196" s="87" t="str">
        <f t="shared" si="14"/>
        <v/>
      </c>
      <c r="CN196" s="88" t="str">
        <f t="shared" si="26"/>
        <v/>
      </c>
      <c r="CO196" s="88" t="str">
        <f t="shared" si="15"/>
        <v/>
      </c>
      <c r="CP196" s="88" t="str">
        <f t="shared" si="16"/>
        <v/>
      </c>
      <c r="CQ196" s="88" t="str">
        <f t="shared" si="17"/>
        <v/>
      </c>
      <c r="CR196" s="88" t="str">
        <f t="shared" si="18"/>
        <v/>
      </c>
      <c r="CS196" s="88" t="str">
        <f t="shared" si="19"/>
        <v/>
      </c>
      <c r="CT196" s="88" t="str">
        <f t="shared" si="20"/>
        <v/>
      </c>
      <c r="CU196" s="88" t="str">
        <f t="shared" si="21"/>
        <v/>
      </c>
      <c r="CV196" s="88" t="str">
        <f t="shared" si="22"/>
        <v/>
      </c>
      <c r="CW196" s="88" t="str">
        <f t="shared" si="23"/>
        <v/>
      </c>
      <c r="CX196" s="7"/>
      <c r="CY196" s="7"/>
      <c r="CZ196" s="7"/>
      <c r="DA196" s="8"/>
      <c r="DU196" s="104" t="str">
        <f t="shared" si="24"/>
        <v/>
      </c>
      <c r="DV196" s="104" t="str">
        <f>ABA!$A196</f>
        <v/>
      </c>
      <c r="DW196" s="98" t="str">
        <f t="shared" si="25"/>
        <v/>
      </c>
    </row>
    <row r="197" ht="15.75" customHeight="1">
      <c r="A197" s="78"/>
      <c r="B197" s="105"/>
      <c r="C197" s="82"/>
      <c r="D197" s="82"/>
      <c r="E197" s="83"/>
      <c r="F197" s="82"/>
      <c r="G197" s="82"/>
      <c r="H197" s="82"/>
      <c r="I197" s="83"/>
      <c r="J197" s="82"/>
      <c r="K197" s="82"/>
      <c r="L197" s="82"/>
      <c r="M197" s="83"/>
      <c r="N197" s="82"/>
      <c r="O197" s="82"/>
      <c r="P197" s="82"/>
      <c r="Q197" s="83"/>
      <c r="R197" s="82"/>
      <c r="S197" s="82"/>
      <c r="T197" s="82"/>
      <c r="U197" s="83"/>
      <c r="V197" s="82"/>
      <c r="W197" s="82"/>
      <c r="X197" s="82"/>
      <c r="Y197" s="83"/>
      <c r="Z197" s="82"/>
      <c r="AA197" s="82"/>
      <c r="AB197" s="82"/>
      <c r="AC197" s="83"/>
      <c r="AD197" s="82"/>
      <c r="AE197" s="82"/>
      <c r="AF197" s="82"/>
      <c r="AG197" s="83"/>
      <c r="AH197" s="82"/>
      <c r="AI197" s="82"/>
      <c r="AJ197" s="82"/>
      <c r="AK197" s="83"/>
      <c r="AL197" s="82"/>
      <c r="AM197" s="82"/>
      <c r="AN197" s="82"/>
      <c r="AO197" s="82"/>
      <c r="AP197" s="84" t="str">
        <f t="shared" si="2"/>
        <v/>
      </c>
      <c r="AQ197" s="9"/>
      <c r="AR197" s="9"/>
      <c r="AS197" s="8"/>
      <c r="AT197" s="9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8"/>
      <c r="BX197" s="9"/>
      <c r="BY197" s="9"/>
      <c r="BZ197" s="9"/>
      <c r="CA197" s="33"/>
      <c r="CB197" s="85" t="str">
        <f t="shared" si="3"/>
        <v/>
      </c>
      <c r="CC197" s="86" t="str">
        <f t="shared" si="4"/>
        <v/>
      </c>
      <c r="CD197" s="86" t="str">
        <f t="shared" si="5"/>
        <v/>
      </c>
      <c r="CE197" s="86" t="str">
        <f t="shared" si="6"/>
        <v/>
      </c>
      <c r="CF197" s="86" t="str">
        <f t="shared" si="7"/>
        <v/>
      </c>
      <c r="CG197" s="86" t="str">
        <f t="shared" si="8"/>
        <v/>
      </c>
      <c r="CH197" s="86" t="str">
        <f t="shared" si="9"/>
        <v/>
      </c>
      <c r="CI197" s="86" t="str">
        <f t="shared" si="10"/>
        <v/>
      </c>
      <c r="CJ197" s="86" t="str">
        <f t="shared" si="11"/>
        <v/>
      </c>
      <c r="CK197" s="86" t="str">
        <f t="shared" si="12"/>
        <v/>
      </c>
      <c r="CL197" s="86" t="str">
        <f t="shared" si="13"/>
        <v/>
      </c>
      <c r="CM197" s="87" t="str">
        <f t="shared" si="14"/>
        <v/>
      </c>
      <c r="CN197" s="88" t="str">
        <f t="shared" si="26"/>
        <v/>
      </c>
      <c r="CO197" s="88" t="str">
        <f t="shared" si="15"/>
        <v/>
      </c>
      <c r="CP197" s="88" t="str">
        <f t="shared" si="16"/>
        <v/>
      </c>
      <c r="CQ197" s="88" t="str">
        <f t="shared" si="17"/>
        <v/>
      </c>
      <c r="CR197" s="88" t="str">
        <f t="shared" si="18"/>
        <v/>
      </c>
      <c r="CS197" s="88" t="str">
        <f t="shared" si="19"/>
        <v/>
      </c>
      <c r="CT197" s="88" t="str">
        <f t="shared" si="20"/>
        <v/>
      </c>
      <c r="CU197" s="88" t="str">
        <f t="shared" si="21"/>
        <v/>
      </c>
      <c r="CV197" s="88" t="str">
        <f t="shared" si="22"/>
        <v/>
      </c>
      <c r="CW197" s="88" t="str">
        <f t="shared" si="23"/>
        <v/>
      </c>
      <c r="CX197" s="7"/>
      <c r="CY197" s="7"/>
      <c r="CZ197" s="7"/>
      <c r="DA197" s="8"/>
      <c r="DU197" s="93" t="str">
        <f t="shared" si="24"/>
        <v/>
      </c>
      <c r="DV197" s="93" t="str">
        <f>ABA!$A197</f>
        <v/>
      </c>
      <c r="DW197" s="82" t="str">
        <f t="shared" si="25"/>
        <v/>
      </c>
    </row>
    <row r="198" ht="15.75" customHeight="1">
      <c r="A198" s="85"/>
      <c r="B198" s="107"/>
      <c r="C198" s="98"/>
      <c r="D198" s="98"/>
      <c r="E198" s="99"/>
      <c r="F198" s="98"/>
      <c r="G198" s="98"/>
      <c r="H198" s="98"/>
      <c r="I198" s="99"/>
      <c r="J198" s="98"/>
      <c r="K198" s="98"/>
      <c r="L198" s="98"/>
      <c r="M198" s="99"/>
      <c r="N198" s="98"/>
      <c r="O198" s="98"/>
      <c r="P198" s="98"/>
      <c r="Q198" s="99"/>
      <c r="R198" s="98"/>
      <c r="S198" s="98"/>
      <c r="T198" s="98"/>
      <c r="U198" s="99"/>
      <c r="V198" s="98"/>
      <c r="W198" s="98"/>
      <c r="X198" s="98"/>
      <c r="Y198" s="100"/>
      <c r="Z198" s="98"/>
      <c r="AA198" s="98"/>
      <c r="AB198" s="98"/>
      <c r="AC198" s="99"/>
      <c r="AD198" s="98"/>
      <c r="AE198" s="98"/>
      <c r="AF198" s="98"/>
      <c r="AG198" s="99"/>
      <c r="AH198" s="98"/>
      <c r="AI198" s="98"/>
      <c r="AJ198" s="98"/>
      <c r="AK198" s="99"/>
      <c r="AL198" s="98"/>
      <c r="AM198" s="98"/>
      <c r="AN198" s="98"/>
      <c r="AO198" s="98"/>
      <c r="AP198" s="84" t="str">
        <f t="shared" si="2"/>
        <v/>
      </c>
      <c r="AQ198" s="9"/>
      <c r="AR198" s="9"/>
      <c r="AS198" s="8"/>
      <c r="AT198" s="9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8"/>
      <c r="BX198" s="9"/>
      <c r="BY198" s="9"/>
      <c r="BZ198" s="9"/>
      <c r="CA198" s="33"/>
      <c r="CB198" s="85" t="str">
        <f t="shared" si="3"/>
        <v/>
      </c>
      <c r="CC198" s="86" t="str">
        <f t="shared" si="4"/>
        <v/>
      </c>
      <c r="CD198" s="86" t="str">
        <f t="shared" si="5"/>
        <v/>
      </c>
      <c r="CE198" s="86" t="str">
        <f t="shared" si="6"/>
        <v/>
      </c>
      <c r="CF198" s="86" t="str">
        <f t="shared" si="7"/>
        <v/>
      </c>
      <c r="CG198" s="86" t="str">
        <f t="shared" si="8"/>
        <v/>
      </c>
      <c r="CH198" s="86" t="str">
        <f t="shared" si="9"/>
        <v/>
      </c>
      <c r="CI198" s="86" t="str">
        <f t="shared" si="10"/>
        <v/>
      </c>
      <c r="CJ198" s="86" t="str">
        <f t="shared" si="11"/>
        <v/>
      </c>
      <c r="CK198" s="86" t="str">
        <f t="shared" si="12"/>
        <v/>
      </c>
      <c r="CL198" s="86" t="str">
        <f t="shared" si="13"/>
        <v/>
      </c>
      <c r="CM198" s="87" t="str">
        <f t="shared" si="14"/>
        <v/>
      </c>
      <c r="CN198" s="88" t="str">
        <f t="shared" si="26"/>
        <v/>
      </c>
      <c r="CO198" s="88" t="str">
        <f t="shared" si="15"/>
        <v/>
      </c>
      <c r="CP198" s="88" t="str">
        <f t="shared" si="16"/>
        <v/>
      </c>
      <c r="CQ198" s="88" t="str">
        <f t="shared" si="17"/>
        <v/>
      </c>
      <c r="CR198" s="88" t="str">
        <f t="shared" si="18"/>
        <v/>
      </c>
      <c r="CS198" s="88" t="str">
        <f t="shared" si="19"/>
        <v/>
      </c>
      <c r="CT198" s="88" t="str">
        <f t="shared" si="20"/>
        <v/>
      </c>
      <c r="CU198" s="88" t="str">
        <f t="shared" si="21"/>
        <v/>
      </c>
      <c r="CV198" s="88" t="str">
        <f t="shared" si="22"/>
        <v/>
      </c>
      <c r="CW198" s="88" t="str">
        <f t="shared" si="23"/>
        <v/>
      </c>
      <c r="CX198" s="7"/>
      <c r="CY198" s="7"/>
      <c r="CZ198" s="7"/>
      <c r="DA198" s="8"/>
      <c r="DU198" s="104" t="str">
        <f t="shared" si="24"/>
        <v/>
      </c>
      <c r="DV198" s="104" t="str">
        <f>ABA!$A198</f>
        <v/>
      </c>
      <c r="DW198" s="98" t="str">
        <f t="shared" si="25"/>
        <v/>
      </c>
    </row>
    <row r="199" ht="15.75" customHeight="1">
      <c r="A199" s="78"/>
      <c r="B199" s="105"/>
      <c r="C199" s="82"/>
      <c r="D199" s="82"/>
      <c r="E199" s="83"/>
      <c r="F199" s="82"/>
      <c r="G199" s="82"/>
      <c r="H199" s="82"/>
      <c r="I199" s="83"/>
      <c r="J199" s="82"/>
      <c r="K199" s="82"/>
      <c r="L199" s="82"/>
      <c r="M199" s="83"/>
      <c r="N199" s="82"/>
      <c r="O199" s="82"/>
      <c r="P199" s="82"/>
      <c r="Q199" s="83"/>
      <c r="R199" s="82"/>
      <c r="S199" s="82"/>
      <c r="T199" s="82"/>
      <c r="U199" s="83"/>
      <c r="V199" s="82"/>
      <c r="W199" s="82"/>
      <c r="X199" s="82"/>
      <c r="Y199" s="83"/>
      <c r="Z199" s="82"/>
      <c r="AA199" s="82"/>
      <c r="AB199" s="82"/>
      <c r="AC199" s="83"/>
      <c r="AD199" s="82"/>
      <c r="AE199" s="82"/>
      <c r="AF199" s="82"/>
      <c r="AG199" s="83"/>
      <c r="AH199" s="82"/>
      <c r="AI199" s="82"/>
      <c r="AJ199" s="82"/>
      <c r="AK199" s="83"/>
      <c r="AL199" s="82"/>
      <c r="AM199" s="82"/>
      <c r="AN199" s="82"/>
      <c r="AO199" s="82"/>
      <c r="AP199" s="84" t="str">
        <f t="shared" si="2"/>
        <v/>
      </c>
      <c r="AQ199" s="9"/>
      <c r="AR199" s="9"/>
      <c r="AS199" s="8"/>
      <c r="AT199" s="9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8"/>
      <c r="BX199" s="9"/>
      <c r="BY199" s="9"/>
      <c r="BZ199" s="9"/>
      <c r="CA199" s="33"/>
      <c r="CB199" s="85" t="str">
        <f t="shared" si="3"/>
        <v/>
      </c>
      <c r="CC199" s="86" t="str">
        <f t="shared" si="4"/>
        <v/>
      </c>
      <c r="CD199" s="86" t="str">
        <f t="shared" si="5"/>
        <v/>
      </c>
      <c r="CE199" s="86" t="str">
        <f t="shared" si="6"/>
        <v/>
      </c>
      <c r="CF199" s="86" t="str">
        <f t="shared" si="7"/>
        <v/>
      </c>
      <c r="CG199" s="86" t="str">
        <f t="shared" si="8"/>
        <v/>
      </c>
      <c r="CH199" s="86" t="str">
        <f t="shared" si="9"/>
        <v/>
      </c>
      <c r="CI199" s="86" t="str">
        <f t="shared" si="10"/>
        <v/>
      </c>
      <c r="CJ199" s="86" t="str">
        <f t="shared" si="11"/>
        <v/>
      </c>
      <c r="CK199" s="86" t="str">
        <f t="shared" si="12"/>
        <v/>
      </c>
      <c r="CL199" s="86" t="str">
        <f t="shared" si="13"/>
        <v/>
      </c>
      <c r="CM199" s="87" t="str">
        <f t="shared" si="14"/>
        <v/>
      </c>
      <c r="CN199" s="88" t="str">
        <f t="shared" si="26"/>
        <v/>
      </c>
      <c r="CO199" s="88" t="str">
        <f t="shared" si="15"/>
        <v/>
      </c>
      <c r="CP199" s="88" t="str">
        <f t="shared" si="16"/>
        <v/>
      </c>
      <c r="CQ199" s="88" t="str">
        <f t="shared" si="17"/>
        <v/>
      </c>
      <c r="CR199" s="88" t="str">
        <f t="shared" si="18"/>
        <v/>
      </c>
      <c r="CS199" s="88" t="str">
        <f t="shared" si="19"/>
        <v/>
      </c>
      <c r="CT199" s="88" t="str">
        <f t="shared" si="20"/>
        <v/>
      </c>
      <c r="CU199" s="88" t="str">
        <f t="shared" si="21"/>
        <v/>
      </c>
      <c r="CV199" s="88" t="str">
        <f t="shared" si="22"/>
        <v/>
      </c>
      <c r="CW199" s="88" t="str">
        <f t="shared" si="23"/>
        <v/>
      </c>
      <c r="CX199" s="7"/>
      <c r="CY199" s="7"/>
      <c r="CZ199" s="7"/>
      <c r="DA199" s="8"/>
      <c r="DU199" s="93" t="str">
        <f t="shared" si="24"/>
        <v/>
      </c>
      <c r="DV199" s="93" t="str">
        <f>ABA!$A199</f>
        <v/>
      </c>
      <c r="DW199" s="82" t="str">
        <f t="shared" si="25"/>
        <v/>
      </c>
    </row>
    <row r="200" ht="15.75" customHeight="1">
      <c r="A200" s="85"/>
      <c r="B200" s="107"/>
      <c r="C200" s="98"/>
      <c r="D200" s="98"/>
      <c r="E200" s="99"/>
      <c r="F200" s="98"/>
      <c r="G200" s="98"/>
      <c r="H200" s="98"/>
      <c r="I200" s="99"/>
      <c r="J200" s="98"/>
      <c r="K200" s="98"/>
      <c r="L200" s="98"/>
      <c r="M200" s="99"/>
      <c r="N200" s="98"/>
      <c r="O200" s="98"/>
      <c r="P200" s="98"/>
      <c r="Q200" s="99"/>
      <c r="R200" s="98"/>
      <c r="S200" s="98"/>
      <c r="T200" s="98"/>
      <c r="U200" s="99"/>
      <c r="V200" s="98"/>
      <c r="W200" s="98"/>
      <c r="X200" s="98"/>
      <c r="Y200" s="100"/>
      <c r="Z200" s="98"/>
      <c r="AA200" s="98"/>
      <c r="AB200" s="98"/>
      <c r="AC200" s="99"/>
      <c r="AD200" s="98"/>
      <c r="AE200" s="98"/>
      <c r="AF200" s="98"/>
      <c r="AG200" s="99"/>
      <c r="AH200" s="98"/>
      <c r="AI200" s="98"/>
      <c r="AJ200" s="98"/>
      <c r="AK200" s="99"/>
      <c r="AL200" s="98"/>
      <c r="AM200" s="98"/>
      <c r="AN200" s="98"/>
      <c r="AO200" s="98"/>
      <c r="AP200" s="84" t="str">
        <f t="shared" si="2"/>
        <v/>
      </c>
      <c r="AQ200" s="9"/>
      <c r="AR200" s="9"/>
      <c r="AS200" s="8"/>
      <c r="AT200" s="9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8"/>
      <c r="BX200" s="9"/>
      <c r="BY200" s="9"/>
      <c r="BZ200" s="9"/>
      <c r="CA200" s="33"/>
      <c r="CB200" s="85" t="str">
        <f t="shared" si="3"/>
        <v/>
      </c>
      <c r="CC200" s="86" t="str">
        <f t="shared" si="4"/>
        <v/>
      </c>
      <c r="CD200" s="86" t="str">
        <f t="shared" si="5"/>
        <v/>
      </c>
      <c r="CE200" s="86" t="str">
        <f t="shared" si="6"/>
        <v/>
      </c>
      <c r="CF200" s="86" t="str">
        <f t="shared" si="7"/>
        <v/>
      </c>
      <c r="CG200" s="86" t="str">
        <f t="shared" si="8"/>
        <v/>
      </c>
      <c r="CH200" s="86" t="str">
        <f t="shared" si="9"/>
        <v/>
      </c>
      <c r="CI200" s="86" t="str">
        <f t="shared" si="10"/>
        <v/>
      </c>
      <c r="CJ200" s="86" t="str">
        <f t="shared" si="11"/>
        <v/>
      </c>
      <c r="CK200" s="86" t="str">
        <f t="shared" si="12"/>
        <v/>
      </c>
      <c r="CL200" s="86" t="str">
        <f t="shared" si="13"/>
        <v/>
      </c>
      <c r="CM200" s="87" t="str">
        <f t="shared" si="14"/>
        <v/>
      </c>
      <c r="CN200" s="88" t="str">
        <f t="shared" si="26"/>
        <v/>
      </c>
      <c r="CO200" s="88" t="str">
        <f t="shared" si="15"/>
        <v/>
      </c>
      <c r="CP200" s="88" t="str">
        <f t="shared" si="16"/>
        <v/>
      </c>
      <c r="CQ200" s="88" t="str">
        <f t="shared" si="17"/>
        <v/>
      </c>
      <c r="CR200" s="88" t="str">
        <f t="shared" si="18"/>
        <v/>
      </c>
      <c r="CS200" s="88" t="str">
        <f t="shared" si="19"/>
        <v/>
      </c>
      <c r="CT200" s="88" t="str">
        <f t="shared" si="20"/>
        <v/>
      </c>
      <c r="CU200" s="88" t="str">
        <f t="shared" si="21"/>
        <v/>
      </c>
      <c r="CV200" s="88" t="str">
        <f t="shared" si="22"/>
        <v/>
      </c>
      <c r="CW200" s="88" t="str">
        <f t="shared" si="23"/>
        <v/>
      </c>
      <c r="CX200" s="7"/>
      <c r="CY200" s="7"/>
      <c r="CZ200" s="7"/>
      <c r="DA200" s="8"/>
      <c r="DU200" s="104" t="str">
        <f t="shared" si="24"/>
        <v/>
      </c>
      <c r="DV200" s="104" t="str">
        <f>ABA!$A200</f>
        <v/>
      </c>
      <c r="DW200" s="98" t="str">
        <f t="shared" si="25"/>
        <v/>
      </c>
    </row>
    <row r="201" ht="15.75" customHeight="1">
      <c r="A201" s="78"/>
      <c r="B201" s="105"/>
      <c r="C201" s="82"/>
      <c r="D201" s="82"/>
      <c r="E201" s="83"/>
      <c r="F201" s="82"/>
      <c r="G201" s="82"/>
      <c r="H201" s="82"/>
      <c r="I201" s="83"/>
      <c r="J201" s="82"/>
      <c r="K201" s="82"/>
      <c r="L201" s="82"/>
      <c r="M201" s="83"/>
      <c r="N201" s="82"/>
      <c r="O201" s="82"/>
      <c r="P201" s="82"/>
      <c r="Q201" s="83"/>
      <c r="R201" s="82"/>
      <c r="S201" s="82"/>
      <c r="T201" s="82"/>
      <c r="U201" s="83"/>
      <c r="V201" s="82"/>
      <c r="W201" s="82"/>
      <c r="X201" s="82"/>
      <c r="Y201" s="83"/>
      <c r="Z201" s="82"/>
      <c r="AA201" s="82"/>
      <c r="AB201" s="82"/>
      <c r="AC201" s="83"/>
      <c r="AD201" s="82"/>
      <c r="AE201" s="82"/>
      <c r="AF201" s="82"/>
      <c r="AG201" s="83"/>
      <c r="AH201" s="82"/>
      <c r="AI201" s="82"/>
      <c r="AJ201" s="82"/>
      <c r="AK201" s="83"/>
      <c r="AL201" s="82"/>
      <c r="AM201" s="82"/>
      <c r="AN201" s="82"/>
      <c r="AO201" s="82"/>
      <c r="AP201" s="84" t="str">
        <f t="shared" si="2"/>
        <v/>
      </c>
      <c r="AQ201" s="9"/>
      <c r="AR201" s="9"/>
      <c r="AS201" s="8"/>
      <c r="AT201" s="9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8"/>
      <c r="BX201" s="9"/>
      <c r="BY201" s="9"/>
      <c r="BZ201" s="9"/>
      <c r="CA201" s="33"/>
      <c r="CB201" s="85" t="str">
        <f t="shared" si="3"/>
        <v/>
      </c>
      <c r="CC201" s="86" t="str">
        <f t="shared" si="4"/>
        <v/>
      </c>
      <c r="CD201" s="86" t="str">
        <f t="shared" si="5"/>
        <v/>
      </c>
      <c r="CE201" s="86" t="str">
        <f t="shared" si="6"/>
        <v/>
      </c>
      <c r="CF201" s="86" t="str">
        <f t="shared" si="7"/>
        <v/>
      </c>
      <c r="CG201" s="86" t="str">
        <f t="shared" si="8"/>
        <v/>
      </c>
      <c r="CH201" s="86" t="str">
        <f t="shared" si="9"/>
        <v/>
      </c>
      <c r="CI201" s="86" t="str">
        <f t="shared" si="10"/>
        <v/>
      </c>
      <c r="CJ201" s="86" t="str">
        <f t="shared" si="11"/>
        <v/>
      </c>
      <c r="CK201" s="86" t="str">
        <f t="shared" si="12"/>
        <v/>
      </c>
      <c r="CL201" s="86" t="str">
        <f t="shared" si="13"/>
        <v/>
      </c>
      <c r="CM201" s="87" t="str">
        <f t="shared" si="14"/>
        <v/>
      </c>
      <c r="CN201" s="88" t="str">
        <f t="shared" si="26"/>
        <v/>
      </c>
      <c r="CO201" s="88" t="str">
        <f t="shared" si="15"/>
        <v/>
      </c>
      <c r="CP201" s="88" t="str">
        <f t="shared" si="16"/>
        <v/>
      </c>
      <c r="CQ201" s="88" t="str">
        <f t="shared" si="17"/>
        <v/>
      </c>
      <c r="CR201" s="88" t="str">
        <f t="shared" si="18"/>
        <v/>
      </c>
      <c r="CS201" s="88" t="str">
        <f t="shared" si="19"/>
        <v/>
      </c>
      <c r="CT201" s="88" t="str">
        <f t="shared" si="20"/>
        <v/>
      </c>
      <c r="CU201" s="88" t="str">
        <f t="shared" si="21"/>
        <v/>
      </c>
      <c r="CV201" s="88" t="str">
        <f t="shared" si="22"/>
        <v/>
      </c>
      <c r="CW201" s="88" t="str">
        <f t="shared" si="23"/>
        <v/>
      </c>
      <c r="CX201" s="7"/>
      <c r="CY201" s="7"/>
      <c r="CZ201" s="7"/>
      <c r="DA201" s="8"/>
      <c r="DU201" s="93" t="str">
        <f t="shared" si="24"/>
        <v/>
      </c>
      <c r="DV201" s="93" t="str">
        <f>ABA!$A201</f>
        <v/>
      </c>
      <c r="DW201" s="82" t="str">
        <f t="shared" si="25"/>
        <v/>
      </c>
    </row>
    <row r="202" ht="15.75" customHeight="1">
      <c r="A202" s="85"/>
      <c r="B202" s="107"/>
      <c r="C202" s="98"/>
      <c r="D202" s="98"/>
      <c r="E202" s="99"/>
      <c r="F202" s="98"/>
      <c r="G202" s="98"/>
      <c r="H202" s="98"/>
      <c r="I202" s="99"/>
      <c r="J202" s="98"/>
      <c r="K202" s="98"/>
      <c r="L202" s="98"/>
      <c r="M202" s="99"/>
      <c r="N202" s="98"/>
      <c r="O202" s="98"/>
      <c r="P202" s="98"/>
      <c r="Q202" s="99"/>
      <c r="R202" s="98"/>
      <c r="S202" s="98"/>
      <c r="T202" s="98"/>
      <c r="U202" s="99"/>
      <c r="V202" s="98"/>
      <c r="W202" s="98"/>
      <c r="X202" s="98"/>
      <c r="Y202" s="100"/>
      <c r="Z202" s="98"/>
      <c r="AA202" s="98"/>
      <c r="AB202" s="98"/>
      <c r="AC202" s="99"/>
      <c r="AD202" s="98"/>
      <c r="AE202" s="98"/>
      <c r="AF202" s="98"/>
      <c r="AG202" s="99"/>
      <c r="AH202" s="98"/>
      <c r="AI202" s="98"/>
      <c r="AJ202" s="98"/>
      <c r="AK202" s="99"/>
      <c r="AL202" s="98"/>
      <c r="AM202" s="98"/>
      <c r="AN202" s="98"/>
      <c r="AO202" s="98"/>
      <c r="AP202" s="84" t="str">
        <f t="shared" si="2"/>
        <v/>
      </c>
      <c r="AQ202" s="9"/>
      <c r="AR202" s="9"/>
      <c r="AS202" s="8"/>
      <c r="AT202" s="9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8"/>
      <c r="BX202" s="9"/>
      <c r="BY202" s="9"/>
      <c r="BZ202" s="9"/>
      <c r="CA202" s="33"/>
      <c r="CB202" s="85" t="str">
        <f t="shared" si="3"/>
        <v/>
      </c>
      <c r="CC202" s="86" t="str">
        <f t="shared" si="4"/>
        <v/>
      </c>
      <c r="CD202" s="86" t="str">
        <f t="shared" si="5"/>
        <v/>
      </c>
      <c r="CE202" s="86" t="str">
        <f t="shared" si="6"/>
        <v/>
      </c>
      <c r="CF202" s="86" t="str">
        <f t="shared" si="7"/>
        <v/>
      </c>
      <c r="CG202" s="86" t="str">
        <f t="shared" si="8"/>
        <v/>
      </c>
      <c r="CH202" s="86" t="str">
        <f t="shared" si="9"/>
        <v/>
      </c>
      <c r="CI202" s="86" t="str">
        <f t="shared" si="10"/>
        <v/>
      </c>
      <c r="CJ202" s="86" t="str">
        <f t="shared" si="11"/>
        <v/>
      </c>
      <c r="CK202" s="86" t="str">
        <f t="shared" si="12"/>
        <v/>
      </c>
      <c r="CL202" s="86" t="str">
        <f t="shared" si="13"/>
        <v/>
      </c>
      <c r="CM202" s="87" t="str">
        <f t="shared" si="14"/>
        <v/>
      </c>
      <c r="CN202" s="88" t="str">
        <f t="shared" si="26"/>
        <v/>
      </c>
      <c r="CO202" s="88" t="str">
        <f t="shared" si="15"/>
        <v/>
      </c>
      <c r="CP202" s="88" t="str">
        <f t="shared" si="16"/>
        <v/>
      </c>
      <c r="CQ202" s="88" t="str">
        <f t="shared" si="17"/>
        <v/>
      </c>
      <c r="CR202" s="88" t="str">
        <f t="shared" si="18"/>
        <v/>
      </c>
      <c r="CS202" s="88" t="str">
        <f t="shared" si="19"/>
        <v/>
      </c>
      <c r="CT202" s="88" t="str">
        <f t="shared" si="20"/>
        <v/>
      </c>
      <c r="CU202" s="88" t="str">
        <f t="shared" si="21"/>
        <v/>
      </c>
      <c r="CV202" s="88" t="str">
        <f t="shared" si="22"/>
        <v/>
      </c>
      <c r="CW202" s="88" t="str">
        <f t="shared" si="23"/>
        <v/>
      </c>
      <c r="CX202" s="7"/>
      <c r="CY202" s="7"/>
      <c r="CZ202" s="7"/>
      <c r="DA202" s="8"/>
      <c r="DU202" s="93" t="str">
        <f t="shared" si="24"/>
        <v/>
      </c>
      <c r="DV202" s="104" t="str">
        <f>ABA!$A202</f>
        <v/>
      </c>
      <c r="DW202" s="98" t="str">
        <f t="shared" si="25"/>
        <v/>
      </c>
    </row>
    <row r="203" ht="15.75" customHeight="1">
      <c r="A203" s="78"/>
      <c r="B203" s="105"/>
      <c r="C203" s="82"/>
      <c r="D203" s="82"/>
      <c r="E203" s="83"/>
      <c r="F203" s="82"/>
      <c r="G203" s="82"/>
      <c r="H203" s="82"/>
      <c r="I203" s="83"/>
      <c r="J203" s="82"/>
      <c r="K203" s="82"/>
      <c r="L203" s="82"/>
      <c r="M203" s="83"/>
      <c r="N203" s="82"/>
      <c r="O203" s="82"/>
      <c r="P203" s="82"/>
      <c r="Q203" s="83"/>
      <c r="R203" s="82"/>
      <c r="S203" s="82"/>
      <c r="T203" s="82"/>
      <c r="U203" s="83"/>
      <c r="V203" s="82"/>
      <c r="W203" s="82"/>
      <c r="X203" s="82"/>
      <c r="Y203" s="83"/>
      <c r="Z203" s="82"/>
      <c r="AA203" s="82"/>
      <c r="AB203" s="82"/>
      <c r="AC203" s="83"/>
      <c r="AD203" s="82"/>
      <c r="AE203" s="82"/>
      <c r="AF203" s="82"/>
      <c r="AG203" s="83"/>
      <c r="AH203" s="82"/>
      <c r="AI203" s="82"/>
      <c r="AJ203" s="82"/>
      <c r="AK203" s="83"/>
      <c r="AL203" s="82"/>
      <c r="AM203" s="82"/>
      <c r="AN203" s="82"/>
      <c r="AO203" s="82"/>
      <c r="AP203" s="84" t="str">
        <f t="shared" si="2"/>
        <v/>
      </c>
      <c r="AQ203" s="9"/>
      <c r="AR203" s="9"/>
      <c r="AS203" s="8"/>
      <c r="AT203" s="9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8"/>
      <c r="BX203" s="9"/>
      <c r="BY203" s="9"/>
      <c r="BZ203" s="9"/>
      <c r="CA203" s="33"/>
      <c r="CB203" s="85" t="str">
        <f t="shared" si="3"/>
        <v/>
      </c>
      <c r="CC203" s="86" t="str">
        <f t="shared" si="4"/>
        <v/>
      </c>
      <c r="CD203" s="86" t="str">
        <f t="shared" si="5"/>
        <v/>
      </c>
      <c r="CE203" s="86" t="str">
        <f t="shared" si="6"/>
        <v/>
      </c>
      <c r="CF203" s="86" t="str">
        <f t="shared" si="7"/>
        <v/>
      </c>
      <c r="CG203" s="86" t="str">
        <f t="shared" si="8"/>
        <v/>
      </c>
      <c r="CH203" s="86" t="str">
        <f t="shared" si="9"/>
        <v/>
      </c>
      <c r="CI203" s="86" t="str">
        <f t="shared" si="10"/>
        <v/>
      </c>
      <c r="CJ203" s="86" t="str">
        <f t="shared" si="11"/>
        <v/>
      </c>
      <c r="CK203" s="86" t="str">
        <f t="shared" si="12"/>
        <v/>
      </c>
      <c r="CL203" s="86" t="str">
        <f t="shared" si="13"/>
        <v/>
      </c>
      <c r="CM203" s="87" t="str">
        <f t="shared" si="14"/>
        <v/>
      </c>
      <c r="CN203" s="88" t="str">
        <f t="shared" si="26"/>
        <v/>
      </c>
      <c r="CO203" s="88" t="str">
        <f t="shared" si="15"/>
        <v/>
      </c>
      <c r="CP203" s="88" t="str">
        <f t="shared" si="16"/>
        <v/>
      </c>
      <c r="CQ203" s="88" t="str">
        <f t="shared" si="17"/>
        <v/>
      </c>
      <c r="CR203" s="88" t="str">
        <f t="shared" si="18"/>
        <v/>
      </c>
      <c r="CS203" s="88" t="str">
        <f t="shared" si="19"/>
        <v/>
      </c>
      <c r="CT203" s="88" t="str">
        <f t="shared" si="20"/>
        <v/>
      </c>
      <c r="CU203" s="88" t="str">
        <f t="shared" si="21"/>
        <v/>
      </c>
      <c r="CV203" s="88" t="str">
        <f t="shared" si="22"/>
        <v/>
      </c>
      <c r="CW203" s="88" t="str">
        <f t="shared" si="23"/>
        <v/>
      </c>
      <c r="CX203" s="7"/>
      <c r="CY203" s="7"/>
      <c r="CZ203" s="7"/>
      <c r="DA203" s="8"/>
      <c r="DU203" s="104" t="str">
        <f t="shared" si="24"/>
        <v/>
      </c>
      <c r="DV203" s="93" t="str">
        <f>ABA!$A203</f>
        <v/>
      </c>
      <c r="DW203" s="82" t="str">
        <f t="shared" si="25"/>
        <v/>
      </c>
    </row>
    <row r="204" ht="15.75" customHeight="1">
      <c r="A204" s="85"/>
      <c r="B204" s="107"/>
      <c r="C204" s="98"/>
      <c r="D204" s="98"/>
      <c r="E204" s="99"/>
      <c r="F204" s="98"/>
      <c r="G204" s="98"/>
      <c r="H204" s="98"/>
      <c r="I204" s="99"/>
      <c r="J204" s="98"/>
      <c r="K204" s="98"/>
      <c r="L204" s="98"/>
      <c r="M204" s="99"/>
      <c r="N204" s="98"/>
      <c r="O204" s="98"/>
      <c r="P204" s="98"/>
      <c r="Q204" s="99"/>
      <c r="R204" s="98"/>
      <c r="S204" s="98"/>
      <c r="T204" s="98"/>
      <c r="U204" s="99"/>
      <c r="V204" s="98"/>
      <c r="W204" s="98"/>
      <c r="X204" s="98"/>
      <c r="Y204" s="100"/>
      <c r="Z204" s="98"/>
      <c r="AA204" s="98"/>
      <c r="AB204" s="98"/>
      <c r="AC204" s="99"/>
      <c r="AD204" s="98"/>
      <c r="AE204" s="98"/>
      <c r="AF204" s="98"/>
      <c r="AG204" s="99"/>
      <c r="AH204" s="98"/>
      <c r="AI204" s="98"/>
      <c r="AJ204" s="98"/>
      <c r="AK204" s="99"/>
      <c r="AL204" s="98"/>
      <c r="AM204" s="98"/>
      <c r="AN204" s="98"/>
      <c r="AO204" s="98"/>
      <c r="AP204" s="84" t="str">
        <f t="shared" si="2"/>
        <v/>
      </c>
      <c r="AQ204" s="9"/>
      <c r="AR204" s="9"/>
      <c r="AS204" s="8"/>
      <c r="AT204" s="9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8"/>
      <c r="BX204" s="9"/>
      <c r="BY204" s="9"/>
      <c r="BZ204" s="9"/>
      <c r="CA204" s="33"/>
      <c r="CB204" s="85" t="str">
        <f t="shared" si="3"/>
        <v/>
      </c>
      <c r="CC204" s="86" t="str">
        <f t="shared" si="4"/>
        <v/>
      </c>
      <c r="CD204" s="86" t="str">
        <f t="shared" si="5"/>
        <v/>
      </c>
      <c r="CE204" s="86" t="str">
        <f t="shared" si="6"/>
        <v/>
      </c>
      <c r="CF204" s="86" t="str">
        <f t="shared" si="7"/>
        <v/>
      </c>
      <c r="CG204" s="86" t="str">
        <f t="shared" si="8"/>
        <v/>
      </c>
      <c r="CH204" s="86" t="str">
        <f t="shared" si="9"/>
        <v/>
      </c>
      <c r="CI204" s="86" t="str">
        <f t="shared" si="10"/>
        <v/>
      </c>
      <c r="CJ204" s="86" t="str">
        <f t="shared" si="11"/>
        <v/>
      </c>
      <c r="CK204" s="86" t="str">
        <f t="shared" si="12"/>
        <v/>
      </c>
      <c r="CL204" s="86" t="str">
        <f t="shared" si="13"/>
        <v/>
      </c>
      <c r="CM204" s="87" t="str">
        <f t="shared" si="14"/>
        <v/>
      </c>
      <c r="CN204" s="88" t="str">
        <f t="shared" si="26"/>
        <v/>
      </c>
      <c r="CO204" s="88" t="str">
        <f t="shared" si="15"/>
        <v/>
      </c>
      <c r="CP204" s="88" t="str">
        <f t="shared" si="16"/>
        <v/>
      </c>
      <c r="CQ204" s="88" t="str">
        <f t="shared" si="17"/>
        <v/>
      </c>
      <c r="CR204" s="88" t="str">
        <f t="shared" si="18"/>
        <v/>
      </c>
      <c r="CS204" s="88" t="str">
        <f t="shared" si="19"/>
        <v/>
      </c>
      <c r="CT204" s="88" t="str">
        <f t="shared" si="20"/>
        <v/>
      </c>
      <c r="CU204" s="88" t="str">
        <f t="shared" si="21"/>
        <v/>
      </c>
      <c r="CV204" s="88" t="str">
        <f t="shared" si="22"/>
        <v/>
      </c>
      <c r="CW204" s="88" t="str">
        <f t="shared" si="23"/>
        <v/>
      </c>
      <c r="CX204" s="7"/>
      <c r="CY204" s="7"/>
      <c r="CZ204" s="7"/>
      <c r="DA204" s="8"/>
      <c r="DU204" s="93" t="str">
        <f t="shared" si="24"/>
        <v/>
      </c>
      <c r="DV204" s="104" t="str">
        <f>ABA!$A204</f>
        <v/>
      </c>
      <c r="DW204" s="98" t="str">
        <f t="shared" si="25"/>
        <v/>
      </c>
    </row>
    <row r="205" ht="15.75" customHeight="1">
      <c r="A205" s="78"/>
      <c r="B205" s="105"/>
      <c r="C205" s="82"/>
      <c r="D205" s="82"/>
      <c r="E205" s="83"/>
      <c r="F205" s="82"/>
      <c r="G205" s="82"/>
      <c r="H205" s="82"/>
      <c r="I205" s="83"/>
      <c r="J205" s="82"/>
      <c r="K205" s="82"/>
      <c r="L205" s="82"/>
      <c r="M205" s="83"/>
      <c r="N205" s="82"/>
      <c r="O205" s="82"/>
      <c r="P205" s="82"/>
      <c r="Q205" s="83"/>
      <c r="R205" s="82"/>
      <c r="S205" s="82"/>
      <c r="T205" s="82"/>
      <c r="U205" s="83"/>
      <c r="V205" s="82"/>
      <c r="W205" s="82"/>
      <c r="X205" s="82"/>
      <c r="Y205" s="83"/>
      <c r="Z205" s="82"/>
      <c r="AA205" s="82"/>
      <c r="AB205" s="82"/>
      <c r="AC205" s="83"/>
      <c r="AD205" s="82"/>
      <c r="AE205" s="82"/>
      <c r="AF205" s="82"/>
      <c r="AG205" s="83"/>
      <c r="AH205" s="82"/>
      <c r="AI205" s="82"/>
      <c r="AJ205" s="82"/>
      <c r="AK205" s="83"/>
      <c r="AL205" s="82"/>
      <c r="AM205" s="82"/>
      <c r="AN205" s="82"/>
      <c r="AO205" s="82"/>
      <c r="AP205" s="84" t="str">
        <f t="shared" si="2"/>
        <v/>
      </c>
      <c r="AQ205" s="9"/>
      <c r="AR205" s="9"/>
      <c r="AS205" s="8"/>
      <c r="AT205" s="9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8"/>
      <c r="BX205" s="9"/>
      <c r="BY205" s="9"/>
      <c r="BZ205" s="9"/>
      <c r="CA205" s="33"/>
      <c r="CB205" s="85" t="str">
        <f t="shared" si="3"/>
        <v/>
      </c>
      <c r="CC205" s="86" t="str">
        <f t="shared" si="4"/>
        <v/>
      </c>
      <c r="CD205" s="86" t="str">
        <f t="shared" si="5"/>
        <v/>
      </c>
      <c r="CE205" s="86" t="str">
        <f t="shared" si="6"/>
        <v/>
      </c>
      <c r="CF205" s="86" t="str">
        <f t="shared" si="7"/>
        <v/>
      </c>
      <c r="CG205" s="86" t="str">
        <f t="shared" si="8"/>
        <v/>
      </c>
      <c r="CH205" s="86" t="str">
        <f t="shared" si="9"/>
        <v/>
      </c>
      <c r="CI205" s="86" t="str">
        <f t="shared" si="10"/>
        <v/>
      </c>
      <c r="CJ205" s="86" t="str">
        <f t="shared" si="11"/>
        <v/>
      </c>
      <c r="CK205" s="86" t="str">
        <f t="shared" si="12"/>
        <v/>
      </c>
      <c r="CL205" s="86" t="str">
        <f t="shared" si="13"/>
        <v/>
      </c>
      <c r="CM205" s="87" t="str">
        <f t="shared" si="14"/>
        <v/>
      </c>
      <c r="CN205" s="88" t="str">
        <f t="shared" si="26"/>
        <v/>
      </c>
      <c r="CO205" s="88" t="str">
        <f t="shared" si="15"/>
        <v/>
      </c>
      <c r="CP205" s="88" t="str">
        <f t="shared" si="16"/>
        <v/>
      </c>
      <c r="CQ205" s="88" t="str">
        <f t="shared" si="17"/>
        <v/>
      </c>
      <c r="CR205" s="88" t="str">
        <f t="shared" si="18"/>
        <v/>
      </c>
      <c r="CS205" s="88" t="str">
        <f t="shared" si="19"/>
        <v/>
      </c>
      <c r="CT205" s="88" t="str">
        <f t="shared" si="20"/>
        <v/>
      </c>
      <c r="CU205" s="88" t="str">
        <f t="shared" si="21"/>
        <v/>
      </c>
      <c r="CV205" s="88" t="str">
        <f t="shared" si="22"/>
        <v/>
      </c>
      <c r="CW205" s="88" t="str">
        <f t="shared" si="23"/>
        <v/>
      </c>
      <c r="CX205" s="7"/>
      <c r="CY205" s="7"/>
      <c r="CZ205" s="7"/>
      <c r="DA205" s="8"/>
      <c r="DU205" s="104" t="str">
        <f t="shared" si="24"/>
        <v/>
      </c>
      <c r="DV205" s="93" t="str">
        <f>ABA!$A205</f>
        <v/>
      </c>
      <c r="DW205" s="82" t="str">
        <f t="shared" si="25"/>
        <v/>
      </c>
    </row>
    <row r="206" ht="15.75" customHeight="1">
      <c r="A206" s="85"/>
      <c r="B206" s="107"/>
      <c r="C206" s="98"/>
      <c r="D206" s="98"/>
      <c r="E206" s="99"/>
      <c r="F206" s="98"/>
      <c r="G206" s="98"/>
      <c r="H206" s="98"/>
      <c r="I206" s="99"/>
      <c r="J206" s="98"/>
      <c r="K206" s="98"/>
      <c r="L206" s="98"/>
      <c r="M206" s="99"/>
      <c r="N206" s="98"/>
      <c r="O206" s="98"/>
      <c r="P206" s="98"/>
      <c r="Q206" s="99"/>
      <c r="R206" s="98"/>
      <c r="S206" s="98"/>
      <c r="T206" s="98"/>
      <c r="U206" s="99"/>
      <c r="V206" s="98"/>
      <c r="W206" s="98"/>
      <c r="X206" s="98"/>
      <c r="Y206" s="100"/>
      <c r="Z206" s="98"/>
      <c r="AA206" s="98"/>
      <c r="AB206" s="98"/>
      <c r="AC206" s="99"/>
      <c r="AD206" s="98"/>
      <c r="AE206" s="98"/>
      <c r="AF206" s="98"/>
      <c r="AG206" s="99"/>
      <c r="AH206" s="98"/>
      <c r="AI206" s="98"/>
      <c r="AJ206" s="98"/>
      <c r="AK206" s="99"/>
      <c r="AL206" s="98"/>
      <c r="AM206" s="98"/>
      <c r="AN206" s="98"/>
      <c r="AO206" s="98"/>
      <c r="AP206" s="84" t="str">
        <f t="shared" si="2"/>
        <v/>
      </c>
      <c r="AQ206" s="9"/>
      <c r="AR206" s="9"/>
      <c r="AS206" s="8"/>
      <c r="AT206" s="9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8"/>
      <c r="BX206" s="9"/>
      <c r="BY206" s="9"/>
      <c r="BZ206" s="9"/>
      <c r="CA206" s="33"/>
      <c r="CB206" s="85" t="str">
        <f t="shared" si="3"/>
        <v/>
      </c>
      <c r="CC206" s="86" t="str">
        <f t="shared" si="4"/>
        <v/>
      </c>
      <c r="CD206" s="86" t="str">
        <f t="shared" si="5"/>
        <v/>
      </c>
      <c r="CE206" s="86" t="str">
        <f t="shared" si="6"/>
        <v/>
      </c>
      <c r="CF206" s="86" t="str">
        <f t="shared" si="7"/>
        <v/>
      </c>
      <c r="CG206" s="86" t="str">
        <f t="shared" si="8"/>
        <v/>
      </c>
      <c r="CH206" s="86" t="str">
        <f t="shared" si="9"/>
        <v/>
      </c>
      <c r="CI206" s="86" t="str">
        <f t="shared" si="10"/>
        <v/>
      </c>
      <c r="CJ206" s="86" t="str">
        <f t="shared" si="11"/>
        <v/>
      </c>
      <c r="CK206" s="86" t="str">
        <f t="shared" si="12"/>
        <v/>
      </c>
      <c r="CL206" s="86" t="str">
        <f t="shared" si="13"/>
        <v/>
      </c>
      <c r="CM206" s="87" t="str">
        <f t="shared" si="14"/>
        <v/>
      </c>
      <c r="CN206" s="88" t="str">
        <f t="shared" si="26"/>
        <v/>
      </c>
      <c r="CO206" s="88" t="str">
        <f t="shared" si="15"/>
        <v/>
      </c>
      <c r="CP206" s="88" t="str">
        <f t="shared" si="16"/>
        <v/>
      </c>
      <c r="CQ206" s="88" t="str">
        <f t="shared" si="17"/>
        <v/>
      </c>
      <c r="CR206" s="88" t="str">
        <f t="shared" si="18"/>
        <v/>
      </c>
      <c r="CS206" s="88" t="str">
        <f t="shared" si="19"/>
        <v/>
      </c>
      <c r="CT206" s="88" t="str">
        <f t="shared" si="20"/>
        <v/>
      </c>
      <c r="CU206" s="88" t="str">
        <f t="shared" si="21"/>
        <v/>
      </c>
      <c r="CV206" s="88" t="str">
        <f t="shared" si="22"/>
        <v/>
      </c>
      <c r="CW206" s="88" t="str">
        <f t="shared" si="23"/>
        <v/>
      </c>
      <c r="CX206" s="7"/>
      <c r="CY206" s="7"/>
      <c r="CZ206" s="7"/>
      <c r="DA206" s="8"/>
      <c r="DU206" s="93" t="str">
        <f t="shared" si="24"/>
        <v/>
      </c>
      <c r="DV206" s="104" t="str">
        <f>ABA!$A206</f>
        <v/>
      </c>
      <c r="DW206" s="98" t="str">
        <f t="shared" si="25"/>
        <v/>
      </c>
    </row>
    <row r="207" ht="15.75" customHeight="1">
      <c r="A207" s="78"/>
      <c r="B207" s="105"/>
      <c r="C207" s="82"/>
      <c r="D207" s="82"/>
      <c r="E207" s="83"/>
      <c r="F207" s="82"/>
      <c r="G207" s="82"/>
      <c r="H207" s="82"/>
      <c r="I207" s="83"/>
      <c r="J207" s="82"/>
      <c r="K207" s="82"/>
      <c r="L207" s="82"/>
      <c r="M207" s="83"/>
      <c r="N207" s="82"/>
      <c r="O207" s="82"/>
      <c r="P207" s="82"/>
      <c r="Q207" s="83"/>
      <c r="R207" s="82"/>
      <c r="S207" s="82"/>
      <c r="T207" s="82"/>
      <c r="U207" s="83"/>
      <c r="V207" s="82"/>
      <c r="W207" s="82"/>
      <c r="X207" s="82"/>
      <c r="Y207" s="83"/>
      <c r="Z207" s="82"/>
      <c r="AA207" s="82"/>
      <c r="AB207" s="82"/>
      <c r="AC207" s="83"/>
      <c r="AD207" s="82"/>
      <c r="AE207" s="82"/>
      <c r="AF207" s="82"/>
      <c r="AG207" s="83"/>
      <c r="AH207" s="82"/>
      <c r="AI207" s="82"/>
      <c r="AJ207" s="82"/>
      <c r="AK207" s="83"/>
      <c r="AL207" s="82"/>
      <c r="AM207" s="82"/>
      <c r="AN207" s="82"/>
      <c r="AO207" s="82"/>
      <c r="AP207" s="84" t="str">
        <f t="shared" si="2"/>
        <v/>
      </c>
      <c r="AQ207" s="9"/>
      <c r="AR207" s="9"/>
      <c r="AS207" s="8"/>
      <c r="AT207" s="9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8"/>
      <c r="BX207" s="9"/>
      <c r="BY207" s="9"/>
      <c r="BZ207" s="9"/>
      <c r="CA207" s="33"/>
      <c r="CB207" s="85" t="str">
        <f t="shared" si="3"/>
        <v/>
      </c>
      <c r="CC207" s="86" t="str">
        <f t="shared" si="4"/>
        <v/>
      </c>
      <c r="CD207" s="86" t="str">
        <f t="shared" si="5"/>
        <v/>
      </c>
      <c r="CE207" s="86" t="str">
        <f t="shared" si="6"/>
        <v/>
      </c>
      <c r="CF207" s="86" t="str">
        <f t="shared" si="7"/>
        <v/>
      </c>
      <c r="CG207" s="86" t="str">
        <f t="shared" si="8"/>
        <v/>
      </c>
      <c r="CH207" s="86" t="str">
        <f t="shared" si="9"/>
        <v/>
      </c>
      <c r="CI207" s="86" t="str">
        <f t="shared" si="10"/>
        <v/>
      </c>
      <c r="CJ207" s="86" t="str">
        <f t="shared" si="11"/>
        <v/>
      </c>
      <c r="CK207" s="86" t="str">
        <f t="shared" si="12"/>
        <v/>
      </c>
      <c r="CL207" s="86" t="str">
        <f t="shared" si="13"/>
        <v/>
      </c>
      <c r="CM207" s="87" t="str">
        <f t="shared" si="14"/>
        <v/>
      </c>
      <c r="CN207" s="88" t="str">
        <f t="shared" si="26"/>
        <v/>
      </c>
      <c r="CO207" s="88" t="str">
        <f t="shared" si="15"/>
        <v/>
      </c>
      <c r="CP207" s="88" t="str">
        <f t="shared" si="16"/>
        <v/>
      </c>
      <c r="CQ207" s="88" t="str">
        <f t="shared" si="17"/>
        <v/>
      </c>
      <c r="CR207" s="88" t="str">
        <f t="shared" si="18"/>
        <v/>
      </c>
      <c r="CS207" s="88" t="str">
        <f t="shared" si="19"/>
        <v/>
      </c>
      <c r="CT207" s="88" t="str">
        <f t="shared" si="20"/>
        <v/>
      </c>
      <c r="CU207" s="88" t="str">
        <f t="shared" si="21"/>
        <v/>
      </c>
      <c r="CV207" s="88" t="str">
        <f t="shared" si="22"/>
        <v/>
      </c>
      <c r="CW207" s="88" t="str">
        <f t="shared" si="23"/>
        <v/>
      </c>
      <c r="CX207" s="7"/>
      <c r="CY207" s="7"/>
      <c r="CZ207" s="7"/>
      <c r="DA207" s="8"/>
      <c r="DU207" s="104" t="str">
        <f t="shared" si="24"/>
        <v/>
      </c>
      <c r="DV207" s="93" t="str">
        <f>ABA!$A207</f>
        <v/>
      </c>
      <c r="DW207" s="82" t="str">
        <f t="shared" si="25"/>
        <v/>
      </c>
    </row>
    <row r="208" ht="15.75" customHeight="1">
      <c r="A208" s="85"/>
      <c r="B208" s="107"/>
      <c r="C208" s="98"/>
      <c r="D208" s="98"/>
      <c r="E208" s="99"/>
      <c r="F208" s="98"/>
      <c r="G208" s="98"/>
      <c r="H208" s="98"/>
      <c r="I208" s="99"/>
      <c r="J208" s="98"/>
      <c r="K208" s="98"/>
      <c r="L208" s="98"/>
      <c r="M208" s="99"/>
      <c r="N208" s="98"/>
      <c r="O208" s="98"/>
      <c r="P208" s="98"/>
      <c r="Q208" s="99"/>
      <c r="R208" s="98"/>
      <c r="S208" s="98"/>
      <c r="T208" s="98"/>
      <c r="U208" s="99"/>
      <c r="V208" s="98"/>
      <c r="W208" s="98"/>
      <c r="X208" s="98"/>
      <c r="Y208" s="100"/>
      <c r="Z208" s="98"/>
      <c r="AA208" s="98"/>
      <c r="AB208" s="98"/>
      <c r="AC208" s="99"/>
      <c r="AD208" s="98"/>
      <c r="AE208" s="98"/>
      <c r="AF208" s="98"/>
      <c r="AG208" s="99"/>
      <c r="AH208" s="98"/>
      <c r="AI208" s="98"/>
      <c r="AJ208" s="98"/>
      <c r="AK208" s="99"/>
      <c r="AL208" s="98"/>
      <c r="AM208" s="98"/>
      <c r="AN208" s="98"/>
      <c r="AO208" s="98"/>
      <c r="AP208" s="84" t="str">
        <f t="shared" si="2"/>
        <v/>
      </c>
      <c r="AQ208" s="9"/>
      <c r="AR208" s="9"/>
      <c r="AS208" s="8"/>
      <c r="AT208" s="9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8"/>
      <c r="BX208" s="9"/>
      <c r="BY208" s="9"/>
      <c r="BZ208" s="9"/>
      <c r="CA208" s="33"/>
      <c r="CB208" s="85" t="str">
        <f t="shared" si="3"/>
        <v/>
      </c>
      <c r="CC208" s="86" t="str">
        <f t="shared" si="4"/>
        <v/>
      </c>
      <c r="CD208" s="86" t="str">
        <f t="shared" si="5"/>
        <v/>
      </c>
      <c r="CE208" s="86" t="str">
        <f t="shared" si="6"/>
        <v/>
      </c>
      <c r="CF208" s="86" t="str">
        <f t="shared" si="7"/>
        <v/>
      </c>
      <c r="CG208" s="86" t="str">
        <f t="shared" si="8"/>
        <v/>
      </c>
      <c r="CH208" s="86" t="str">
        <f t="shared" si="9"/>
        <v/>
      </c>
      <c r="CI208" s="86" t="str">
        <f t="shared" si="10"/>
        <v/>
      </c>
      <c r="CJ208" s="86" t="str">
        <f t="shared" si="11"/>
        <v/>
      </c>
      <c r="CK208" s="86" t="str">
        <f t="shared" si="12"/>
        <v/>
      </c>
      <c r="CL208" s="86" t="str">
        <f t="shared" si="13"/>
        <v/>
      </c>
      <c r="CM208" s="87" t="str">
        <f t="shared" si="14"/>
        <v/>
      </c>
      <c r="CN208" s="88" t="str">
        <f t="shared" si="26"/>
        <v/>
      </c>
      <c r="CO208" s="88" t="str">
        <f t="shared" si="15"/>
        <v/>
      </c>
      <c r="CP208" s="88" t="str">
        <f t="shared" si="16"/>
        <v/>
      </c>
      <c r="CQ208" s="88" t="str">
        <f t="shared" si="17"/>
        <v/>
      </c>
      <c r="CR208" s="88" t="str">
        <f t="shared" si="18"/>
        <v/>
      </c>
      <c r="CS208" s="88" t="str">
        <f t="shared" si="19"/>
        <v/>
      </c>
      <c r="CT208" s="88" t="str">
        <f t="shared" si="20"/>
        <v/>
      </c>
      <c r="CU208" s="88" t="str">
        <f t="shared" si="21"/>
        <v/>
      </c>
      <c r="CV208" s="88" t="str">
        <f t="shared" si="22"/>
        <v/>
      </c>
      <c r="CW208" s="88" t="str">
        <f t="shared" si="23"/>
        <v/>
      </c>
      <c r="CX208" s="7"/>
      <c r="CY208" s="7"/>
      <c r="CZ208" s="7"/>
      <c r="DA208" s="8"/>
      <c r="DU208" s="93" t="str">
        <f t="shared" si="24"/>
        <v/>
      </c>
      <c r="DV208" s="104" t="str">
        <f>ABA!$A208</f>
        <v/>
      </c>
      <c r="DW208" s="98" t="str">
        <f t="shared" si="25"/>
        <v/>
      </c>
    </row>
    <row r="209" ht="15.75" customHeight="1">
      <c r="A209" s="78"/>
      <c r="B209" s="105"/>
      <c r="C209" s="82"/>
      <c r="D209" s="82"/>
      <c r="E209" s="83"/>
      <c r="F209" s="82"/>
      <c r="G209" s="82"/>
      <c r="H209" s="82"/>
      <c r="I209" s="83"/>
      <c r="J209" s="82"/>
      <c r="K209" s="82"/>
      <c r="L209" s="82"/>
      <c r="M209" s="83"/>
      <c r="N209" s="82"/>
      <c r="O209" s="82"/>
      <c r="P209" s="82"/>
      <c r="Q209" s="83"/>
      <c r="R209" s="82"/>
      <c r="S209" s="82"/>
      <c r="T209" s="82"/>
      <c r="U209" s="83"/>
      <c r="V209" s="82"/>
      <c r="W209" s="82"/>
      <c r="X209" s="82"/>
      <c r="Y209" s="83"/>
      <c r="Z209" s="82"/>
      <c r="AA209" s="82"/>
      <c r="AB209" s="82"/>
      <c r="AC209" s="83"/>
      <c r="AD209" s="82"/>
      <c r="AE209" s="82"/>
      <c r="AF209" s="82"/>
      <c r="AG209" s="83"/>
      <c r="AH209" s="82"/>
      <c r="AI209" s="82"/>
      <c r="AJ209" s="82"/>
      <c r="AK209" s="83"/>
      <c r="AL209" s="82"/>
      <c r="AM209" s="82"/>
      <c r="AN209" s="82"/>
      <c r="AO209" s="82"/>
      <c r="AP209" s="84" t="str">
        <f t="shared" si="2"/>
        <v/>
      </c>
      <c r="AQ209" s="9"/>
      <c r="AR209" s="9"/>
      <c r="AS209" s="8"/>
      <c r="AT209" s="9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8"/>
      <c r="BX209" s="9"/>
      <c r="BY209" s="9"/>
      <c r="BZ209" s="9"/>
      <c r="CA209" s="33"/>
      <c r="CB209" s="85" t="str">
        <f t="shared" si="3"/>
        <v/>
      </c>
      <c r="CC209" s="86" t="str">
        <f t="shared" si="4"/>
        <v/>
      </c>
      <c r="CD209" s="86" t="str">
        <f t="shared" si="5"/>
        <v/>
      </c>
      <c r="CE209" s="86" t="str">
        <f t="shared" si="6"/>
        <v/>
      </c>
      <c r="CF209" s="86" t="str">
        <f t="shared" si="7"/>
        <v/>
      </c>
      <c r="CG209" s="86" t="str">
        <f t="shared" si="8"/>
        <v/>
      </c>
      <c r="CH209" s="86" t="str">
        <f t="shared" si="9"/>
        <v/>
      </c>
      <c r="CI209" s="86" t="str">
        <f t="shared" si="10"/>
        <v/>
      </c>
      <c r="CJ209" s="86" t="str">
        <f t="shared" si="11"/>
        <v/>
      </c>
      <c r="CK209" s="86" t="str">
        <f t="shared" si="12"/>
        <v/>
      </c>
      <c r="CL209" s="86" t="str">
        <f t="shared" si="13"/>
        <v/>
      </c>
      <c r="CM209" s="87" t="str">
        <f t="shared" si="14"/>
        <v/>
      </c>
      <c r="CN209" s="88" t="str">
        <f t="shared" si="26"/>
        <v/>
      </c>
      <c r="CO209" s="88" t="str">
        <f t="shared" si="15"/>
        <v/>
      </c>
      <c r="CP209" s="88" t="str">
        <f t="shared" si="16"/>
        <v/>
      </c>
      <c r="CQ209" s="88" t="str">
        <f t="shared" si="17"/>
        <v/>
      </c>
      <c r="CR209" s="88" t="str">
        <f t="shared" si="18"/>
        <v/>
      </c>
      <c r="CS209" s="88" t="str">
        <f t="shared" si="19"/>
        <v/>
      </c>
      <c r="CT209" s="88" t="str">
        <f t="shared" si="20"/>
        <v/>
      </c>
      <c r="CU209" s="88" t="str">
        <f t="shared" si="21"/>
        <v/>
      </c>
      <c r="CV209" s="88" t="str">
        <f t="shared" si="22"/>
        <v/>
      </c>
      <c r="CW209" s="88" t="str">
        <f t="shared" si="23"/>
        <v/>
      </c>
      <c r="CX209" s="7"/>
      <c r="CY209" s="7"/>
      <c r="CZ209" s="7"/>
      <c r="DA209" s="8"/>
      <c r="DU209" s="104" t="str">
        <f t="shared" si="24"/>
        <v/>
      </c>
      <c r="DV209" s="93" t="str">
        <f>ABA!$A209</f>
        <v/>
      </c>
      <c r="DW209" s="82" t="str">
        <f t="shared" si="25"/>
        <v/>
      </c>
    </row>
    <row r="210" ht="15.75" customHeight="1">
      <c r="A210" s="85"/>
      <c r="B210" s="107"/>
      <c r="C210" s="98"/>
      <c r="D210" s="98"/>
      <c r="E210" s="99"/>
      <c r="F210" s="98"/>
      <c r="G210" s="98"/>
      <c r="H210" s="98"/>
      <c r="I210" s="99"/>
      <c r="J210" s="98"/>
      <c r="K210" s="98"/>
      <c r="L210" s="98"/>
      <c r="M210" s="99"/>
      <c r="N210" s="98"/>
      <c r="O210" s="98"/>
      <c r="P210" s="98"/>
      <c r="Q210" s="99"/>
      <c r="R210" s="98"/>
      <c r="S210" s="98"/>
      <c r="T210" s="98"/>
      <c r="U210" s="99"/>
      <c r="V210" s="98"/>
      <c r="W210" s="98"/>
      <c r="X210" s="98"/>
      <c r="Y210" s="100"/>
      <c r="Z210" s="98"/>
      <c r="AA210" s="98"/>
      <c r="AB210" s="98"/>
      <c r="AC210" s="99"/>
      <c r="AD210" s="98"/>
      <c r="AE210" s="98"/>
      <c r="AF210" s="98"/>
      <c r="AG210" s="99"/>
      <c r="AH210" s="98"/>
      <c r="AI210" s="98"/>
      <c r="AJ210" s="98"/>
      <c r="AK210" s="99"/>
      <c r="AL210" s="98"/>
      <c r="AM210" s="98"/>
      <c r="AN210" s="98"/>
      <c r="AO210" s="98"/>
      <c r="AP210" s="84" t="str">
        <f t="shared" si="2"/>
        <v/>
      </c>
      <c r="AQ210" s="9"/>
      <c r="AR210" s="9"/>
      <c r="AS210" s="8"/>
      <c r="AT210" s="9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8"/>
      <c r="BX210" s="9"/>
      <c r="BY210" s="9"/>
      <c r="BZ210" s="9"/>
      <c r="CA210" s="33"/>
      <c r="CB210" s="85" t="str">
        <f t="shared" si="3"/>
        <v/>
      </c>
      <c r="CC210" s="86" t="str">
        <f t="shared" si="4"/>
        <v/>
      </c>
      <c r="CD210" s="86" t="str">
        <f t="shared" si="5"/>
        <v/>
      </c>
      <c r="CE210" s="86" t="str">
        <f t="shared" si="6"/>
        <v/>
      </c>
      <c r="CF210" s="86" t="str">
        <f t="shared" si="7"/>
        <v/>
      </c>
      <c r="CG210" s="86" t="str">
        <f t="shared" si="8"/>
        <v/>
      </c>
      <c r="CH210" s="86" t="str">
        <f t="shared" si="9"/>
        <v/>
      </c>
      <c r="CI210" s="86" t="str">
        <f t="shared" si="10"/>
        <v/>
      </c>
      <c r="CJ210" s="86" t="str">
        <f t="shared" si="11"/>
        <v/>
      </c>
      <c r="CK210" s="86" t="str">
        <f t="shared" si="12"/>
        <v/>
      </c>
      <c r="CL210" s="86" t="str">
        <f t="shared" si="13"/>
        <v/>
      </c>
      <c r="CM210" s="87" t="str">
        <f t="shared" si="14"/>
        <v/>
      </c>
      <c r="CN210" s="88" t="str">
        <f t="shared" si="26"/>
        <v/>
      </c>
      <c r="CO210" s="88" t="str">
        <f t="shared" si="15"/>
        <v/>
      </c>
      <c r="CP210" s="88" t="str">
        <f t="shared" si="16"/>
        <v/>
      </c>
      <c r="CQ210" s="88" t="str">
        <f t="shared" si="17"/>
        <v/>
      </c>
      <c r="CR210" s="88" t="str">
        <f t="shared" si="18"/>
        <v/>
      </c>
      <c r="CS210" s="88" t="str">
        <f t="shared" si="19"/>
        <v/>
      </c>
      <c r="CT210" s="88" t="str">
        <f t="shared" si="20"/>
        <v/>
      </c>
      <c r="CU210" s="88" t="str">
        <f t="shared" si="21"/>
        <v/>
      </c>
      <c r="CV210" s="88" t="str">
        <f t="shared" si="22"/>
        <v/>
      </c>
      <c r="CW210" s="88" t="str">
        <f t="shared" si="23"/>
        <v/>
      </c>
      <c r="CX210" s="7"/>
      <c r="CY210" s="7"/>
      <c r="CZ210" s="7"/>
      <c r="DA210" s="8"/>
      <c r="DU210" s="93" t="str">
        <f t="shared" si="24"/>
        <v/>
      </c>
      <c r="DV210" s="104" t="str">
        <f>ABA!$A210</f>
        <v/>
      </c>
      <c r="DW210" s="98" t="str">
        <f t="shared" si="25"/>
        <v/>
      </c>
    </row>
    <row r="211" ht="15.75" customHeight="1">
      <c r="A211" s="78"/>
      <c r="B211" s="105"/>
      <c r="C211" s="82"/>
      <c r="D211" s="82"/>
      <c r="E211" s="83"/>
      <c r="F211" s="82"/>
      <c r="G211" s="82"/>
      <c r="H211" s="82"/>
      <c r="I211" s="83"/>
      <c r="J211" s="82"/>
      <c r="K211" s="82"/>
      <c r="L211" s="82"/>
      <c r="M211" s="83"/>
      <c r="N211" s="82"/>
      <c r="O211" s="82"/>
      <c r="P211" s="82"/>
      <c r="Q211" s="83"/>
      <c r="R211" s="82"/>
      <c r="S211" s="82"/>
      <c r="T211" s="82"/>
      <c r="U211" s="83"/>
      <c r="V211" s="82"/>
      <c r="W211" s="82"/>
      <c r="X211" s="82"/>
      <c r="Y211" s="83"/>
      <c r="Z211" s="82"/>
      <c r="AA211" s="82"/>
      <c r="AB211" s="82"/>
      <c r="AC211" s="83"/>
      <c r="AD211" s="82"/>
      <c r="AE211" s="82"/>
      <c r="AF211" s="82"/>
      <c r="AG211" s="83"/>
      <c r="AH211" s="82"/>
      <c r="AI211" s="82"/>
      <c r="AJ211" s="82"/>
      <c r="AK211" s="83"/>
      <c r="AL211" s="82"/>
      <c r="AM211" s="82"/>
      <c r="AN211" s="82"/>
      <c r="AO211" s="82"/>
      <c r="AP211" s="84" t="str">
        <f t="shared" si="2"/>
        <v/>
      </c>
      <c r="AQ211" s="9"/>
      <c r="AR211" s="9"/>
      <c r="AS211" s="8"/>
      <c r="AT211" s="9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8"/>
      <c r="BX211" s="9"/>
      <c r="BY211" s="9"/>
      <c r="BZ211" s="9"/>
      <c r="CA211" s="33"/>
      <c r="CB211" s="85" t="str">
        <f t="shared" si="3"/>
        <v/>
      </c>
      <c r="CC211" s="86" t="str">
        <f t="shared" si="4"/>
        <v/>
      </c>
      <c r="CD211" s="86" t="str">
        <f t="shared" si="5"/>
        <v/>
      </c>
      <c r="CE211" s="86" t="str">
        <f t="shared" si="6"/>
        <v/>
      </c>
      <c r="CF211" s="86" t="str">
        <f t="shared" si="7"/>
        <v/>
      </c>
      <c r="CG211" s="86" t="str">
        <f t="shared" si="8"/>
        <v/>
      </c>
      <c r="CH211" s="86" t="str">
        <f t="shared" si="9"/>
        <v/>
      </c>
      <c r="CI211" s="86" t="str">
        <f t="shared" si="10"/>
        <v/>
      </c>
      <c r="CJ211" s="86" t="str">
        <f t="shared" si="11"/>
        <v/>
      </c>
      <c r="CK211" s="86" t="str">
        <f t="shared" si="12"/>
        <v/>
      </c>
      <c r="CL211" s="86" t="str">
        <f t="shared" si="13"/>
        <v/>
      </c>
      <c r="CM211" s="87" t="str">
        <f t="shared" si="14"/>
        <v/>
      </c>
      <c r="CN211" s="88" t="str">
        <f t="shared" si="26"/>
        <v/>
      </c>
      <c r="CO211" s="88" t="str">
        <f t="shared" si="15"/>
        <v/>
      </c>
      <c r="CP211" s="88" t="str">
        <f t="shared" si="16"/>
        <v/>
      </c>
      <c r="CQ211" s="88" t="str">
        <f t="shared" si="17"/>
        <v/>
      </c>
      <c r="CR211" s="88" t="str">
        <f t="shared" si="18"/>
        <v/>
      </c>
      <c r="CS211" s="88" t="str">
        <f t="shared" si="19"/>
        <v/>
      </c>
      <c r="CT211" s="88" t="str">
        <f t="shared" si="20"/>
        <v/>
      </c>
      <c r="CU211" s="88" t="str">
        <f t="shared" si="21"/>
        <v/>
      </c>
      <c r="CV211" s="88" t="str">
        <f t="shared" si="22"/>
        <v/>
      </c>
      <c r="CW211" s="88" t="str">
        <f t="shared" si="23"/>
        <v/>
      </c>
      <c r="CX211" s="7"/>
      <c r="CY211" s="7"/>
      <c r="CZ211" s="7"/>
      <c r="DA211" s="8"/>
      <c r="DU211" s="104" t="str">
        <f t="shared" si="24"/>
        <v/>
      </c>
      <c r="DV211" s="93" t="str">
        <f>ABA!$A211</f>
        <v/>
      </c>
      <c r="DW211" s="82" t="str">
        <f t="shared" si="25"/>
        <v/>
      </c>
    </row>
    <row r="212" ht="15.75" customHeight="1">
      <c r="A212" s="85"/>
      <c r="B212" s="107"/>
      <c r="C212" s="98"/>
      <c r="D212" s="98"/>
      <c r="E212" s="99"/>
      <c r="F212" s="98"/>
      <c r="G212" s="98"/>
      <c r="H212" s="98"/>
      <c r="I212" s="99"/>
      <c r="J212" s="98"/>
      <c r="K212" s="98"/>
      <c r="L212" s="98"/>
      <c r="M212" s="99"/>
      <c r="N212" s="98"/>
      <c r="O212" s="98"/>
      <c r="P212" s="98"/>
      <c r="Q212" s="99"/>
      <c r="R212" s="98"/>
      <c r="S212" s="98"/>
      <c r="T212" s="98"/>
      <c r="U212" s="99"/>
      <c r="V212" s="98"/>
      <c r="W212" s="98"/>
      <c r="X212" s="98"/>
      <c r="Y212" s="100"/>
      <c r="Z212" s="98"/>
      <c r="AA212" s="98"/>
      <c r="AB212" s="98"/>
      <c r="AC212" s="99"/>
      <c r="AD212" s="98"/>
      <c r="AE212" s="98"/>
      <c r="AF212" s="98"/>
      <c r="AG212" s="99"/>
      <c r="AH212" s="98"/>
      <c r="AI212" s="98"/>
      <c r="AJ212" s="98"/>
      <c r="AK212" s="99"/>
      <c r="AL212" s="98"/>
      <c r="AM212" s="98"/>
      <c r="AN212" s="98"/>
      <c r="AO212" s="98"/>
      <c r="AP212" s="84" t="str">
        <f t="shared" si="2"/>
        <v/>
      </c>
      <c r="AQ212" s="9"/>
      <c r="AR212" s="9"/>
      <c r="AS212" s="8"/>
      <c r="AT212" s="9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8"/>
      <c r="BX212" s="9"/>
      <c r="BY212" s="9"/>
      <c r="BZ212" s="9"/>
      <c r="CA212" s="33"/>
      <c r="CB212" s="85" t="str">
        <f t="shared" si="3"/>
        <v/>
      </c>
      <c r="CC212" s="86" t="str">
        <f t="shared" si="4"/>
        <v/>
      </c>
      <c r="CD212" s="86" t="str">
        <f t="shared" si="5"/>
        <v/>
      </c>
      <c r="CE212" s="86" t="str">
        <f t="shared" si="6"/>
        <v/>
      </c>
      <c r="CF212" s="86" t="str">
        <f t="shared" si="7"/>
        <v/>
      </c>
      <c r="CG212" s="86" t="str">
        <f t="shared" si="8"/>
        <v/>
      </c>
      <c r="CH212" s="86" t="str">
        <f t="shared" si="9"/>
        <v/>
      </c>
      <c r="CI212" s="86" t="str">
        <f t="shared" si="10"/>
        <v/>
      </c>
      <c r="CJ212" s="86" t="str">
        <f t="shared" si="11"/>
        <v/>
      </c>
      <c r="CK212" s="86" t="str">
        <f t="shared" si="12"/>
        <v/>
      </c>
      <c r="CL212" s="86" t="str">
        <f t="shared" si="13"/>
        <v/>
      </c>
      <c r="CM212" s="87" t="str">
        <f t="shared" si="14"/>
        <v/>
      </c>
      <c r="CN212" s="88" t="str">
        <f t="shared" si="26"/>
        <v/>
      </c>
      <c r="CO212" s="88" t="str">
        <f t="shared" si="15"/>
        <v/>
      </c>
      <c r="CP212" s="88" t="str">
        <f t="shared" si="16"/>
        <v/>
      </c>
      <c r="CQ212" s="88" t="str">
        <f t="shared" si="17"/>
        <v/>
      </c>
      <c r="CR212" s="88" t="str">
        <f t="shared" si="18"/>
        <v/>
      </c>
      <c r="CS212" s="88" t="str">
        <f t="shared" si="19"/>
        <v/>
      </c>
      <c r="CT212" s="88" t="str">
        <f t="shared" si="20"/>
        <v/>
      </c>
      <c r="CU212" s="88" t="str">
        <f t="shared" si="21"/>
        <v/>
      </c>
      <c r="CV212" s="88" t="str">
        <f t="shared" si="22"/>
        <v/>
      </c>
      <c r="CW212" s="88" t="str">
        <f t="shared" si="23"/>
        <v/>
      </c>
      <c r="CX212" s="7"/>
      <c r="CY212" s="7"/>
      <c r="CZ212" s="7"/>
      <c r="DA212" s="8"/>
      <c r="DU212" s="93" t="str">
        <f t="shared" si="24"/>
        <v/>
      </c>
      <c r="DV212" s="104" t="str">
        <f>ABA!$A212</f>
        <v/>
      </c>
      <c r="DW212" s="98" t="str">
        <f t="shared" si="25"/>
        <v/>
      </c>
    </row>
    <row r="213" ht="15.75" customHeight="1">
      <c r="A213" s="78"/>
      <c r="B213" s="105"/>
      <c r="C213" s="82"/>
      <c r="D213" s="82"/>
      <c r="E213" s="83"/>
      <c r="F213" s="82"/>
      <c r="G213" s="82"/>
      <c r="H213" s="82"/>
      <c r="I213" s="83"/>
      <c r="J213" s="82"/>
      <c r="K213" s="82"/>
      <c r="L213" s="82"/>
      <c r="M213" s="83"/>
      <c r="N213" s="82"/>
      <c r="O213" s="82"/>
      <c r="P213" s="82"/>
      <c r="Q213" s="83"/>
      <c r="R213" s="82"/>
      <c r="S213" s="82"/>
      <c r="T213" s="82"/>
      <c r="U213" s="83"/>
      <c r="V213" s="82"/>
      <c r="W213" s="82"/>
      <c r="X213" s="82"/>
      <c r="Y213" s="83"/>
      <c r="Z213" s="82"/>
      <c r="AA213" s="82"/>
      <c r="AB213" s="82"/>
      <c r="AC213" s="83"/>
      <c r="AD213" s="82"/>
      <c r="AE213" s="82"/>
      <c r="AF213" s="82"/>
      <c r="AG213" s="83"/>
      <c r="AH213" s="82"/>
      <c r="AI213" s="82"/>
      <c r="AJ213" s="82"/>
      <c r="AK213" s="83"/>
      <c r="AL213" s="82"/>
      <c r="AM213" s="82"/>
      <c r="AN213" s="82"/>
      <c r="AO213" s="82"/>
      <c r="AP213" s="84" t="str">
        <f t="shared" si="2"/>
        <v/>
      </c>
      <c r="AQ213" s="9"/>
      <c r="AR213" s="9"/>
      <c r="AS213" s="8"/>
      <c r="AT213" s="9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8"/>
      <c r="BX213" s="9"/>
      <c r="BY213" s="9"/>
      <c r="BZ213" s="9"/>
      <c r="CA213" s="33"/>
      <c r="CB213" s="85" t="str">
        <f t="shared" si="3"/>
        <v/>
      </c>
      <c r="CC213" s="86" t="str">
        <f t="shared" si="4"/>
        <v/>
      </c>
      <c r="CD213" s="86" t="str">
        <f t="shared" si="5"/>
        <v/>
      </c>
      <c r="CE213" s="86" t="str">
        <f t="shared" si="6"/>
        <v/>
      </c>
      <c r="CF213" s="86" t="str">
        <f t="shared" si="7"/>
        <v/>
      </c>
      <c r="CG213" s="86" t="str">
        <f t="shared" si="8"/>
        <v/>
      </c>
      <c r="CH213" s="86" t="str">
        <f t="shared" si="9"/>
        <v/>
      </c>
      <c r="CI213" s="86" t="str">
        <f t="shared" si="10"/>
        <v/>
      </c>
      <c r="CJ213" s="86" t="str">
        <f t="shared" si="11"/>
        <v/>
      </c>
      <c r="CK213" s="86" t="str">
        <f t="shared" si="12"/>
        <v/>
      </c>
      <c r="CL213" s="86" t="str">
        <f t="shared" si="13"/>
        <v/>
      </c>
      <c r="CM213" s="87" t="str">
        <f t="shared" si="14"/>
        <v/>
      </c>
      <c r="CN213" s="88" t="str">
        <f t="shared" si="26"/>
        <v/>
      </c>
      <c r="CO213" s="88" t="str">
        <f t="shared" si="15"/>
        <v/>
      </c>
      <c r="CP213" s="88" t="str">
        <f t="shared" si="16"/>
        <v/>
      </c>
      <c r="CQ213" s="88" t="str">
        <f t="shared" si="17"/>
        <v/>
      </c>
      <c r="CR213" s="88" t="str">
        <f t="shared" si="18"/>
        <v/>
      </c>
      <c r="CS213" s="88" t="str">
        <f t="shared" si="19"/>
        <v/>
      </c>
      <c r="CT213" s="88" t="str">
        <f t="shared" si="20"/>
        <v/>
      </c>
      <c r="CU213" s="88" t="str">
        <f t="shared" si="21"/>
        <v/>
      </c>
      <c r="CV213" s="88" t="str">
        <f t="shared" si="22"/>
        <v/>
      </c>
      <c r="CW213" s="88" t="str">
        <f t="shared" si="23"/>
        <v/>
      </c>
      <c r="CX213" s="7"/>
      <c r="CY213" s="7"/>
      <c r="CZ213" s="7"/>
      <c r="DA213" s="8"/>
      <c r="DU213" s="104" t="str">
        <f t="shared" si="24"/>
        <v/>
      </c>
      <c r="DV213" s="93" t="str">
        <f>ABA!$A213</f>
        <v/>
      </c>
      <c r="DW213" s="82" t="str">
        <f t="shared" si="25"/>
        <v/>
      </c>
    </row>
    <row r="214" ht="15.75" customHeight="1">
      <c r="A214" s="85"/>
      <c r="B214" s="107"/>
      <c r="C214" s="98"/>
      <c r="D214" s="98"/>
      <c r="E214" s="99"/>
      <c r="F214" s="98"/>
      <c r="G214" s="98"/>
      <c r="H214" s="98"/>
      <c r="I214" s="99"/>
      <c r="J214" s="98"/>
      <c r="K214" s="98"/>
      <c r="L214" s="98"/>
      <c r="M214" s="99"/>
      <c r="N214" s="98"/>
      <c r="O214" s="98"/>
      <c r="P214" s="98"/>
      <c r="Q214" s="99"/>
      <c r="R214" s="98"/>
      <c r="S214" s="98"/>
      <c r="T214" s="98"/>
      <c r="U214" s="99"/>
      <c r="V214" s="98"/>
      <c r="W214" s="98"/>
      <c r="X214" s="98"/>
      <c r="Y214" s="100"/>
      <c r="Z214" s="98"/>
      <c r="AA214" s="98"/>
      <c r="AB214" s="98"/>
      <c r="AC214" s="99"/>
      <c r="AD214" s="98"/>
      <c r="AE214" s="98"/>
      <c r="AF214" s="98"/>
      <c r="AG214" s="99"/>
      <c r="AH214" s="98"/>
      <c r="AI214" s="98"/>
      <c r="AJ214" s="98"/>
      <c r="AK214" s="99"/>
      <c r="AL214" s="98"/>
      <c r="AM214" s="98"/>
      <c r="AN214" s="98"/>
      <c r="AO214" s="98"/>
      <c r="AP214" s="84" t="str">
        <f t="shared" si="2"/>
        <v/>
      </c>
      <c r="AQ214" s="9"/>
      <c r="AR214" s="9"/>
      <c r="AS214" s="8"/>
      <c r="AT214" s="9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8"/>
      <c r="BX214" s="9"/>
      <c r="BY214" s="9"/>
      <c r="BZ214" s="9"/>
      <c r="CA214" s="33"/>
      <c r="CB214" s="85" t="str">
        <f t="shared" si="3"/>
        <v/>
      </c>
      <c r="CC214" s="86" t="str">
        <f t="shared" si="4"/>
        <v/>
      </c>
      <c r="CD214" s="86" t="str">
        <f t="shared" si="5"/>
        <v/>
      </c>
      <c r="CE214" s="86" t="str">
        <f t="shared" si="6"/>
        <v/>
      </c>
      <c r="CF214" s="86" t="str">
        <f t="shared" si="7"/>
        <v/>
      </c>
      <c r="CG214" s="86" t="str">
        <f t="shared" si="8"/>
        <v/>
      </c>
      <c r="CH214" s="86" t="str">
        <f t="shared" si="9"/>
        <v/>
      </c>
      <c r="CI214" s="86" t="str">
        <f t="shared" si="10"/>
        <v/>
      </c>
      <c r="CJ214" s="86" t="str">
        <f t="shared" si="11"/>
        <v/>
      </c>
      <c r="CK214" s="86" t="str">
        <f t="shared" si="12"/>
        <v/>
      </c>
      <c r="CL214" s="86" t="str">
        <f t="shared" si="13"/>
        <v/>
      </c>
      <c r="CM214" s="87" t="str">
        <f t="shared" si="14"/>
        <v/>
      </c>
      <c r="CN214" s="88" t="str">
        <f t="shared" si="26"/>
        <v/>
      </c>
      <c r="CO214" s="88" t="str">
        <f t="shared" si="15"/>
        <v/>
      </c>
      <c r="CP214" s="88" t="str">
        <f t="shared" si="16"/>
        <v/>
      </c>
      <c r="CQ214" s="88" t="str">
        <f t="shared" si="17"/>
        <v/>
      </c>
      <c r="CR214" s="88" t="str">
        <f t="shared" si="18"/>
        <v/>
      </c>
      <c r="CS214" s="88" t="str">
        <f t="shared" si="19"/>
        <v/>
      </c>
      <c r="CT214" s="88" t="str">
        <f t="shared" si="20"/>
        <v/>
      </c>
      <c r="CU214" s="88" t="str">
        <f t="shared" si="21"/>
        <v/>
      </c>
      <c r="CV214" s="88" t="str">
        <f t="shared" si="22"/>
        <v/>
      </c>
      <c r="CW214" s="88" t="str">
        <f t="shared" si="23"/>
        <v/>
      </c>
      <c r="CX214" s="7"/>
      <c r="CY214" s="7"/>
      <c r="CZ214" s="7"/>
      <c r="DA214" s="8"/>
      <c r="DU214" s="93" t="str">
        <f t="shared" si="24"/>
        <v/>
      </c>
      <c r="DV214" s="104" t="str">
        <f>ABA!$A214</f>
        <v/>
      </c>
      <c r="DW214" s="98" t="str">
        <f t="shared" si="25"/>
        <v/>
      </c>
    </row>
    <row r="215" ht="15.75" customHeight="1">
      <c r="A215" s="78"/>
      <c r="B215" s="105"/>
      <c r="C215" s="82"/>
      <c r="D215" s="82"/>
      <c r="E215" s="83"/>
      <c r="F215" s="82"/>
      <c r="G215" s="82"/>
      <c r="H215" s="82"/>
      <c r="I215" s="83"/>
      <c r="J215" s="82"/>
      <c r="K215" s="82"/>
      <c r="L215" s="82"/>
      <c r="M215" s="83"/>
      <c r="N215" s="82"/>
      <c r="O215" s="82"/>
      <c r="P215" s="82"/>
      <c r="Q215" s="83"/>
      <c r="R215" s="82"/>
      <c r="S215" s="82"/>
      <c r="T215" s="82"/>
      <c r="U215" s="83"/>
      <c r="V215" s="82"/>
      <c r="W215" s="82"/>
      <c r="X215" s="82"/>
      <c r="Y215" s="83"/>
      <c r="Z215" s="82"/>
      <c r="AA215" s="82"/>
      <c r="AB215" s="82"/>
      <c r="AC215" s="83"/>
      <c r="AD215" s="82"/>
      <c r="AE215" s="82"/>
      <c r="AF215" s="82"/>
      <c r="AG215" s="83"/>
      <c r="AH215" s="82"/>
      <c r="AI215" s="82"/>
      <c r="AJ215" s="82"/>
      <c r="AK215" s="83"/>
      <c r="AL215" s="82"/>
      <c r="AM215" s="82"/>
      <c r="AN215" s="82"/>
      <c r="AO215" s="82"/>
      <c r="AP215" s="84" t="str">
        <f t="shared" si="2"/>
        <v/>
      </c>
      <c r="AQ215" s="9"/>
      <c r="AR215" s="9"/>
      <c r="AS215" s="8"/>
      <c r="AT215" s="9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8"/>
      <c r="BX215" s="9"/>
      <c r="BY215" s="9"/>
      <c r="BZ215" s="9"/>
      <c r="CA215" s="33"/>
      <c r="CB215" s="85" t="str">
        <f t="shared" si="3"/>
        <v/>
      </c>
      <c r="CC215" s="86" t="str">
        <f t="shared" si="4"/>
        <v/>
      </c>
      <c r="CD215" s="86" t="str">
        <f t="shared" si="5"/>
        <v/>
      </c>
      <c r="CE215" s="86" t="str">
        <f t="shared" si="6"/>
        <v/>
      </c>
      <c r="CF215" s="86" t="str">
        <f t="shared" si="7"/>
        <v/>
      </c>
      <c r="CG215" s="86" t="str">
        <f t="shared" si="8"/>
        <v/>
      </c>
      <c r="CH215" s="86" t="str">
        <f t="shared" si="9"/>
        <v/>
      </c>
      <c r="CI215" s="86" t="str">
        <f t="shared" si="10"/>
        <v/>
      </c>
      <c r="CJ215" s="86" t="str">
        <f t="shared" si="11"/>
        <v/>
      </c>
      <c r="CK215" s="86" t="str">
        <f t="shared" si="12"/>
        <v/>
      </c>
      <c r="CL215" s="86" t="str">
        <f t="shared" si="13"/>
        <v/>
      </c>
      <c r="CM215" s="87" t="str">
        <f t="shared" si="14"/>
        <v/>
      </c>
      <c r="CN215" s="88" t="str">
        <f t="shared" si="26"/>
        <v/>
      </c>
      <c r="CO215" s="88" t="str">
        <f t="shared" si="15"/>
        <v/>
      </c>
      <c r="CP215" s="88" t="str">
        <f t="shared" si="16"/>
        <v/>
      </c>
      <c r="CQ215" s="88" t="str">
        <f t="shared" si="17"/>
        <v/>
      </c>
      <c r="CR215" s="88" t="str">
        <f t="shared" si="18"/>
        <v/>
      </c>
      <c r="CS215" s="88" t="str">
        <f t="shared" si="19"/>
        <v/>
      </c>
      <c r="CT215" s="88" t="str">
        <f t="shared" si="20"/>
        <v/>
      </c>
      <c r="CU215" s="88" t="str">
        <f t="shared" si="21"/>
        <v/>
      </c>
      <c r="CV215" s="88" t="str">
        <f t="shared" si="22"/>
        <v/>
      </c>
      <c r="CW215" s="88" t="str">
        <f t="shared" si="23"/>
        <v/>
      </c>
      <c r="CX215" s="7"/>
      <c r="CY215" s="7"/>
      <c r="CZ215" s="7"/>
      <c r="DA215" s="8"/>
      <c r="DU215" s="104" t="str">
        <f t="shared" si="24"/>
        <v/>
      </c>
      <c r="DV215" s="93" t="str">
        <f>ABA!$A215</f>
        <v/>
      </c>
      <c r="DW215" s="82" t="str">
        <f t="shared" si="25"/>
        <v/>
      </c>
    </row>
    <row r="216" ht="15.75" customHeight="1">
      <c r="A216" s="85"/>
      <c r="B216" s="107"/>
      <c r="C216" s="98"/>
      <c r="D216" s="98"/>
      <c r="E216" s="99"/>
      <c r="F216" s="98"/>
      <c r="G216" s="98"/>
      <c r="H216" s="98"/>
      <c r="I216" s="99"/>
      <c r="J216" s="98"/>
      <c r="K216" s="98"/>
      <c r="L216" s="98"/>
      <c r="M216" s="99"/>
      <c r="N216" s="98"/>
      <c r="O216" s="98"/>
      <c r="P216" s="98"/>
      <c r="Q216" s="99"/>
      <c r="R216" s="98"/>
      <c r="S216" s="98"/>
      <c r="T216" s="98"/>
      <c r="U216" s="99"/>
      <c r="V216" s="98"/>
      <c r="W216" s="98"/>
      <c r="X216" s="98"/>
      <c r="Y216" s="100"/>
      <c r="Z216" s="98"/>
      <c r="AA216" s="98"/>
      <c r="AB216" s="98"/>
      <c r="AC216" s="99"/>
      <c r="AD216" s="98"/>
      <c r="AE216" s="98"/>
      <c r="AF216" s="98"/>
      <c r="AG216" s="99"/>
      <c r="AH216" s="98"/>
      <c r="AI216" s="98"/>
      <c r="AJ216" s="98"/>
      <c r="AK216" s="99"/>
      <c r="AL216" s="98"/>
      <c r="AM216" s="98"/>
      <c r="AN216" s="98"/>
      <c r="AO216" s="98"/>
      <c r="AP216" s="84" t="str">
        <f t="shared" si="2"/>
        <v/>
      </c>
      <c r="AQ216" s="9"/>
      <c r="AR216" s="9"/>
      <c r="AS216" s="8"/>
      <c r="AT216" s="9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8"/>
      <c r="BX216" s="9"/>
      <c r="BY216" s="9"/>
      <c r="BZ216" s="9"/>
      <c r="CA216" s="33"/>
      <c r="CB216" s="85" t="str">
        <f t="shared" si="3"/>
        <v/>
      </c>
      <c r="CC216" s="86" t="str">
        <f t="shared" si="4"/>
        <v/>
      </c>
      <c r="CD216" s="86" t="str">
        <f t="shared" si="5"/>
        <v/>
      </c>
      <c r="CE216" s="86" t="str">
        <f t="shared" si="6"/>
        <v/>
      </c>
      <c r="CF216" s="86" t="str">
        <f t="shared" si="7"/>
        <v/>
      </c>
      <c r="CG216" s="86" t="str">
        <f t="shared" si="8"/>
        <v/>
      </c>
      <c r="CH216" s="86" t="str">
        <f t="shared" si="9"/>
        <v/>
      </c>
      <c r="CI216" s="86" t="str">
        <f t="shared" si="10"/>
        <v/>
      </c>
      <c r="CJ216" s="86" t="str">
        <f t="shared" si="11"/>
        <v/>
      </c>
      <c r="CK216" s="86" t="str">
        <f t="shared" si="12"/>
        <v/>
      </c>
      <c r="CL216" s="86" t="str">
        <f t="shared" si="13"/>
        <v/>
      </c>
      <c r="CM216" s="87" t="str">
        <f t="shared" si="14"/>
        <v/>
      </c>
      <c r="CN216" s="88" t="str">
        <f t="shared" si="26"/>
        <v/>
      </c>
      <c r="CO216" s="88" t="str">
        <f t="shared" si="15"/>
        <v/>
      </c>
      <c r="CP216" s="88" t="str">
        <f t="shared" si="16"/>
        <v/>
      </c>
      <c r="CQ216" s="88" t="str">
        <f t="shared" si="17"/>
        <v/>
      </c>
      <c r="CR216" s="88" t="str">
        <f t="shared" si="18"/>
        <v/>
      </c>
      <c r="CS216" s="88" t="str">
        <f t="shared" si="19"/>
        <v/>
      </c>
      <c r="CT216" s="88" t="str">
        <f t="shared" si="20"/>
        <v/>
      </c>
      <c r="CU216" s="88" t="str">
        <f t="shared" si="21"/>
        <v/>
      </c>
      <c r="CV216" s="88" t="str">
        <f t="shared" si="22"/>
        <v/>
      </c>
      <c r="CW216" s="88" t="str">
        <f t="shared" si="23"/>
        <v/>
      </c>
      <c r="CX216" s="7"/>
      <c r="CY216" s="7"/>
      <c r="CZ216" s="7"/>
      <c r="DA216" s="8"/>
      <c r="DU216" s="93" t="str">
        <f t="shared" si="24"/>
        <v/>
      </c>
      <c r="DV216" s="104" t="str">
        <f>ABA!$A216</f>
        <v/>
      </c>
      <c r="DW216" s="98" t="str">
        <f t="shared" si="25"/>
        <v/>
      </c>
    </row>
    <row r="217" ht="15.75" customHeight="1">
      <c r="A217" s="78"/>
      <c r="B217" s="105"/>
      <c r="C217" s="82"/>
      <c r="D217" s="82"/>
      <c r="E217" s="83"/>
      <c r="F217" s="82"/>
      <c r="G217" s="82"/>
      <c r="H217" s="82"/>
      <c r="I217" s="83"/>
      <c r="J217" s="82"/>
      <c r="K217" s="82"/>
      <c r="L217" s="82"/>
      <c r="M217" s="83"/>
      <c r="N217" s="82"/>
      <c r="O217" s="82"/>
      <c r="P217" s="82"/>
      <c r="Q217" s="83"/>
      <c r="R217" s="82"/>
      <c r="S217" s="82"/>
      <c r="T217" s="82"/>
      <c r="U217" s="83"/>
      <c r="V217" s="82"/>
      <c r="W217" s="82"/>
      <c r="X217" s="82"/>
      <c r="Y217" s="83"/>
      <c r="Z217" s="82"/>
      <c r="AA217" s="82"/>
      <c r="AB217" s="82"/>
      <c r="AC217" s="83"/>
      <c r="AD217" s="82"/>
      <c r="AE217" s="82"/>
      <c r="AF217" s="82"/>
      <c r="AG217" s="83"/>
      <c r="AH217" s="82"/>
      <c r="AI217" s="82"/>
      <c r="AJ217" s="82"/>
      <c r="AK217" s="83"/>
      <c r="AL217" s="82"/>
      <c r="AM217" s="82"/>
      <c r="AN217" s="82"/>
      <c r="AO217" s="82"/>
      <c r="AP217" s="84" t="str">
        <f t="shared" si="2"/>
        <v/>
      </c>
      <c r="AQ217" s="9"/>
      <c r="AR217" s="9"/>
      <c r="AS217" s="8"/>
      <c r="AT217" s="9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8"/>
      <c r="BX217" s="9"/>
      <c r="BY217" s="9"/>
      <c r="BZ217" s="9"/>
      <c r="CA217" s="33"/>
      <c r="CB217" s="85" t="str">
        <f t="shared" si="3"/>
        <v/>
      </c>
      <c r="CC217" s="86" t="str">
        <f t="shared" si="4"/>
        <v/>
      </c>
      <c r="CD217" s="86" t="str">
        <f t="shared" si="5"/>
        <v/>
      </c>
      <c r="CE217" s="86" t="str">
        <f t="shared" si="6"/>
        <v/>
      </c>
      <c r="CF217" s="86" t="str">
        <f t="shared" si="7"/>
        <v/>
      </c>
      <c r="CG217" s="86" t="str">
        <f t="shared" si="8"/>
        <v/>
      </c>
      <c r="CH217" s="86" t="str">
        <f t="shared" si="9"/>
        <v/>
      </c>
      <c r="CI217" s="86" t="str">
        <f t="shared" si="10"/>
        <v/>
      </c>
      <c r="CJ217" s="86" t="str">
        <f t="shared" si="11"/>
        <v/>
      </c>
      <c r="CK217" s="86" t="str">
        <f t="shared" si="12"/>
        <v/>
      </c>
      <c r="CL217" s="86" t="str">
        <f t="shared" si="13"/>
        <v/>
      </c>
      <c r="CM217" s="87" t="str">
        <f t="shared" si="14"/>
        <v/>
      </c>
      <c r="CN217" s="88" t="str">
        <f t="shared" si="26"/>
        <v/>
      </c>
      <c r="CO217" s="88" t="str">
        <f t="shared" si="15"/>
        <v/>
      </c>
      <c r="CP217" s="88" t="str">
        <f t="shared" si="16"/>
        <v/>
      </c>
      <c r="CQ217" s="88" t="str">
        <f t="shared" si="17"/>
        <v/>
      </c>
      <c r="CR217" s="88" t="str">
        <f t="shared" si="18"/>
        <v/>
      </c>
      <c r="CS217" s="88" t="str">
        <f t="shared" si="19"/>
        <v/>
      </c>
      <c r="CT217" s="88" t="str">
        <f t="shared" si="20"/>
        <v/>
      </c>
      <c r="CU217" s="88" t="str">
        <f t="shared" si="21"/>
        <v/>
      </c>
      <c r="CV217" s="88" t="str">
        <f t="shared" si="22"/>
        <v/>
      </c>
      <c r="CW217" s="88" t="str">
        <f t="shared" si="23"/>
        <v/>
      </c>
      <c r="CX217" s="7"/>
      <c r="CY217" s="7"/>
      <c r="CZ217" s="7"/>
      <c r="DA217" s="8"/>
      <c r="DU217" s="104" t="str">
        <f t="shared" si="24"/>
        <v/>
      </c>
      <c r="DV217" s="93" t="str">
        <f>ABA!$A217</f>
        <v/>
      </c>
      <c r="DW217" s="82" t="str">
        <f t="shared" si="25"/>
        <v/>
      </c>
    </row>
    <row r="218" ht="15.75" customHeight="1">
      <c r="A218" s="85"/>
      <c r="B218" s="107"/>
      <c r="C218" s="98"/>
      <c r="D218" s="98"/>
      <c r="E218" s="99"/>
      <c r="F218" s="98"/>
      <c r="G218" s="98"/>
      <c r="H218" s="98"/>
      <c r="I218" s="99"/>
      <c r="J218" s="98"/>
      <c r="K218" s="98"/>
      <c r="L218" s="98"/>
      <c r="M218" s="99"/>
      <c r="N218" s="98"/>
      <c r="O218" s="98"/>
      <c r="P218" s="98"/>
      <c r="Q218" s="99"/>
      <c r="R218" s="98"/>
      <c r="S218" s="98"/>
      <c r="T218" s="98"/>
      <c r="U218" s="99"/>
      <c r="V218" s="98"/>
      <c r="W218" s="98"/>
      <c r="X218" s="98"/>
      <c r="Y218" s="100"/>
      <c r="Z218" s="98"/>
      <c r="AA218" s="98"/>
      <c r="AB218" s="98"/>
      <c r="AC218" s="99"/>
      <c r="AD218" s="98"/>
      <c r="AE218" s="98"/>
      <c r="AF218" s="98"/>
      <c r="AG218" s="99"/>
      <c r="AH218" s="98"/>
      <c r="AI218" s="98"/>
      <c r="AJ218" s="98"/>
      <c r="AK218" s="99"/>
      <c r="AL218" s="98"/>
      <c r="AM218" s="98"/>
      <c r="AN218" s="98"/>
      <c r="AO218" s="98"/>
      <c r="AP218" s="84" t="str">
        <f t="shared" si="2"/>
        <v/>
      </c>
      <c r="AQ218" s="9"/>
      <c r="AR218" s="9"/>
      <c r="AS218" s="8"/>
      <c r="AT218" s="9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8"/>
      <c r="BX218" s="9"/>
      <c r="BY218" s="9"/>
      <c r="BZ218" s="9"/>
      <c r="CA218" s="33"/>
      <c r="CB218" s="85" t="str">
        <f t="shared" si="3"/>
        <v/>
      </c>
      <c r="CC218" s="86" t="str">
        <f t="shared" si="4"/>
        <v/>
      </c>
      <c r="CD218" s="86" t="str">
        <f t="shared" si="5"/>
        <v/>
      </c>
      <c r="CE218" s="86" t="str">
        <f t="shared" si="6"/>
        <v/>
      </c>
      <c r="CF218" s="86" t="str">
        <f t="shared" si="7"/>
        <v/>
      </c>
      <c r="CG218" s="86" t="str">
        <f t="shared" si="8"/>
        <v/>
      </c>
      <c r="CH218" s="86" t="str">
        <f t="shared" si="9"/>
        <v/>
      </c>
      <c r="CI218" s="86" t="str">
        <f t="shared" si="10"/>
        <v/>
      </c>
      <c r="CJ218" s="86" t="str">
        <f t="shared" si="11"/>
        <v/>
      </c>
      <c r="CK218" s="86" t="str">
        <f t="shared" si="12"/>
        <v/>
      </c>
      <c r="CL218" s="86" t="str">
        <f t="shared" si="13"/>
        <v/>
      </c>
      <c r="CM218" s="87" t="str">
        <f t="shared" si="14"/>
        <v/>
      </c>
      <c r="CN218" s="88" t="str">
        <f t="shared" si="26"/>
        <v/>
      </c>
      <c r="CO218" s="88" t="str">
        <f t="shared" si="15"/>
        <v/>
      </c>
      <c r="CP218" s="88" t="str">
        <f t="shared" si="16"/>
        <v/>
      </c>
      <c r="CQ218" s="88" t="str">
        <f t="shared" si="17"/>
        <v/>
      </c>
      <c r="CR218" s="88" t="str">
        <f t="shared" si="18"/>
        <v/>
      </c>
      <c r="CS218" s="88" t="str">
        <f t="shared" si="19"/>
        <v/>
      </c>
      <c r="CT218" s="88" t="str">
        <f t="shared" si="20"/>
        <v/>
      </c>
      <c r="CU218" s="88" t="str">
        <f t="shared" si="21"/>
        <v/>
      </c>
      <c r="CV218" s="88" t="str">
        <f t="shared" si="22"/>
        <v/>
      </c>
      <c r="CW218" s="88" t="str">
        <f t="shared" si="23"/>
        <v/>
      </c>
      <c r="CX218" s="7"/>
      <c r="CY218" s="7"/>
      <c r="CZ218" s="7"/>
      <c r="DA218" s="8"/>
      <c r="DU218" s="93" t="str">
        <f t="shared" si="24"/>
        <v/>
      </c>
      <c r="DV218" s="104" t="str">
        <f>ABA!$A218</f>
        <v/>
      </c>
      <c r="DW218" s="98" t="str">
        <f t="shared" si="25"/>
        <v/>
      </c>
    </row>
    <row r="219" ht="15.75" customHeight="1">
      <c r="A219" s="78"/>
      <c r="B219" s="105"/>
      <c r="C219" s="82"/>
      <c r="D219" s="82"/>
      <c r="E219" s="83"/>
      <c r="F219" s="82"/>
      <c r="G219" s="82"/>
      <c r="H219" s="82"/>
      <c r="I219" s="83"/>
      <c r="J219" s="82"/>
      <c r="K219" s="82"/>
      <c r="L219" s="82"/>
      <c r="M219" s="83"/>
      <c r="N219" s="82"/>
      <c r="O219" s="82"/>
      <c r="P219" s="82"/>
      <c r="Q219" s="83"/>
      <c r="R219" s="82"/>
      <c r="S219" s="82"/>
      <c r="T219" s="82"/>
      <c r="U219" s="83"/>
      <c r="V219" s="82"/>
      <c r="W219" s="82"/>
      <c r="X219" s="82"/>
      <c r="Y219" s="83"/>
      <c r="Z219" s="82"/>
      <c r="AA219" s="82"/>
      <c r="AB219" s="82"/>
      <c r="AC219" s="83"/>
      <c r="AD219" s="82"/>
      <c r="AE219" s="82"/>
      <c r="AF219" s="82"/>
      <c r="AG219" s="83"/>
      <c r="AH219" s="82"/>
      <c r="AI219" s="82"/>
      <c r="AJ219" s="82"/>
      <c r="AK219" s="83"/>
      <c r="AL219" s="82"/>
      <c r="AM219" s="82"/>
      <c r="AN219" s="82"/>
      <c r="AO219" s="82"/>
      <c r="AP219" s="84" t="str">
        <f t="shared" si="2"/>
        <v/>
      </c>
      <c r="AQ219" s="9"/>
      <c r="AR219" s="9"/>
      <c r="AS219" s="8"/>
      <c r="AT219" s="9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8"/>
      <c r="BX219" s="9"/>
      <c r="BY219" s="9"/>
      <c r="BZ219" s="9"/>
      <c r="CA219" s="33"/>
      <c r="CB219" s="85" t="str">
        <f t="shared" si="3"/>
        <v/>
      </c>
      <c r="CC219" s="86" t="str">
        <f t="shared" si="4"/>
        <v/>
      </c>
      <c r="CD219" s="86" t="str">
        <f t="shared" si="5"/>
        <v/>
      </c>
      <c r="CE219" s="86" t="str">
        <f t="shared" si="6"/>
        <v/>
      </c>
      <c r="CF219" s="86" t="str">
        <f t="shared" si="7"/>
        <v/>
      </c>
      <c r="CG219" s="86" t="str">
        <f t="shared" si="8"/>
        <v/>
      </c>
      <c r="CH219" s="86" t="str">
        <f t="shared" si="9"/>
        <v/>
      </c>
      <c r="CI219" s="86" t="str">
        <f t="shared" si="10"/>
        <v/>
      </c>
      <c r="CJ219" s="86" t="str">
        <f t="shared" si="11"/>
        <v/>
      </c>
      <c r="CK219" s="86" t="str">
        <f t="shared" si="12"/>
        <v/>
      </c>
      <c r="CL219" s="86" t="str">
        <f t="shared" si="13"/>
        <v/>
      </c>
      <c r="CM219" s="87" t="str">
        <f t="shared" si="14"/>
        <v/>
      </c>
      <c r="CN219" s="88" t="str">
        <f t="shared" si="26"/>
        <v/>
      </c>
      <c r="CO219" s="88" t="str">
        <f t="shared" si="15"/>
        <v/>
      </c>
      <c r="CP219" s="88" t="str">
        <f t="shared" si="16"/>
        <v/>
      </c>
      <c r="CQ219" s="88" t="str">
        <f t="shared" si="17"/>
        <v/>
      </c>
      <c r="CR219" s="88" t="str">
        <f t="shared" si="18"/>
        <v/>
      </c>
      <c r="CS219" s="88" t="str">
        <f t="shared" si="19"/>
        <v/>
      </c>
      <c r="CT219" s="88" t="str">
        <f t="shared" si="20"/>
        <v/>
      </c>
      <c r="CU219" s="88" t="str">
        <f t="shared" si="21"/>
        <v/>
      </c>
      <c r="CV219" s="88" t="str">
        <f t="shared" si="22"/>
        <v/>
      </c>
      <c r="CW219" s="88" t="str">
        <f t="shared" si="23"/>
        <v/>
      </c>
      <c r="CX219" s="7"/>
      <c r="CY219" s="7"/>
      <c r="CZ219" s="7"/>
      <c r="DA219" s="8"/>
      <c r="DU219" s="104" t="str">
        <f t="shared" si="24"/>
        <v/>
      </c>
      <c r="DV219" s="93" t="str">
        <f>ABA!$A219</f>
        <v/>
      </c>
      <c r="DW219" s="82" t="str">
        <f t="shared" si="25"/>
        <v/>
      </c>
    </row>
    <row r="220" ht="15.75" customHeight="1">
      <c r="A220" s="85"/>
      <c r="B220" s="107"/>
      <c r="C220" s="98"/>
      <c r="D220" s="98"/>
      <c r="E220" s="99"/>
      <c r="F220" s="98"/>
      <c r="G220" s="98"/>
      <c r="H220" s="98"/>
      <c r="I220" s="99"/>
      <c r="J220" s="98"/>
      <c r="K220" s="98"/>
      <c r="L220" s="98"/>
      <c r="M220" s="99"/>
      <c r="N220" s="98"/>
      <c r="O220" s="98"/>
      <c r="P220" s="98"/>
      <c r="Q220" s="99"/>
      <c r="R220" s="98"/>
      <c r="S220" s="98"/>
      <c r="T220" s="98"/>
      <c r="U220" s="99"/>
      <c r="V220" s="98"/>
      <c r="W220" s="98"/>
      <c r="X220" s="98"/>
      <c r="Y220" s="100"/>
      <c r="Z220" s="98"/>
      <c r="AA220" s="98"/>
      <c r="AB220" s="98"/>
      <c r="AC220" s="99"/>
      <c r="AD220" s="98"/>
      <c r="AE220" s="98"/>
      <c r="AF220" s="98"/>
      <c r="AG220" s="99"/>
      <c r="AH220" s="98"/>
      <c r="AI220" s="98"/>
      <c r="AJ220" s="98"/>
      <c r="AK220" s="99"/>
      <c r="AL220" s="98"/>
      <c r="AM220" s="98"/>
      <c r="AN220" s="98"/>
      <c r="AO220" s="98"/>
      <c r="AP220" s="84" t="str">
        <f t="shared" si="2"/>
        <v/>
      </c>
      <c r="AQ220" s="9"/>
      <c r="AR220" s="9"/>
      <c r="AS220" s="8"/>
      <c r="AT220" s="9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8"/>
      <c r="BX220" s="9"/>
      <c r="BY220" s="9"/>
      <c r="BZ220" s="9"/>
      <c r="CA220" s="33"/>
      <c r="CB220" s="85" t="str">
        <f t="shared" si="3"/>
        <v/>
      </c>
      <c r="CC220" s="86" t="str">
        <f t="shared" si="4"/>
        <v/>
      </c>
      <c r="CD220" s="86" t="str">
        <f t="shared" si="5"/>
        <v/>
      </c>
      <c r="CE220" s="86" t="str">
        <f t="shared" si="6"/>
        <v/>
      </c>
      <c r="CF220" s="86" t="str">
        <f t="shared" si="7"/>
        <v/>
      </c>
      <c r="CG220" s="86" t="str">
        <f t="shared" si="8"/>
        <v/>
      </c>
      <c r="CH220" s="86" t="str">
        <f t="shared" si="9"/>
        <v/>
      </c>
      <c r="CI220" s="86" t="str">
        <f t="shared" si="10"/>
        <v/>
      </c>
      <c r="CJ220" s="86" t="str">
        <f t="shared" si="11"/>
        <v/>
      </c>
      <c r="CK220" s="86" t="str">
        <f t="shared" si="12"/>
        <v/>
      </c>
      <c r="CL220" s="86" t="str">
        <f t="shared" si="13"/>
        <v/>
      </c>
      <c r="CM220" s="87" t="str">
        <f t="shared" si="14"/>
        <v/>
      </c>
      <c r="CN220" s="88" t="str">
        <f t="shared" si="26"/>
        <v/>
      </c>
      <c r="CO220" s="88" t="str">
        <f t="shared" si="15"/>
        <v/>
      </c>
      <c r="CP220" s="88" t="str">
        <f t="shared" si="16"/>
        <v/>
      </c>
      <c r="CQ220" s="88" t="str">
        <f t="shared" si="17"/>
        <v/>
      </c>
      <c r="CR220" s="88" t="str">
        <f t="shared" si="18"/>
        <v/>
      </c>
      <c r="CS220" s="88" t="str">
        <f t="shared" si="19"/>
        <v/>
      </c>
      <c r="CT220" s="88" t="str">
        <f t="shared" si="20"/>
        <v/>
      </c>
      <c r="CU220" s="88" t="str">
        <f t="shared" si="21"/>
        <v/>
      </c>
      <c r="CV220" s="88" t="str">
        <f t="shared" si="22"/>
        <v/>
      </c>
      <c r="CW220" s="88" t="str">
        <f t="shared" si="23"/>
        <v/>
      </c>
      <c r="CX220" s="7"/>
      <c r="CY220" s="7"/>
      <c r="CZ220" s="7"/>
      <c r="DA220" s="8"/>
      <c r="DU220" s="93" t="str">
        <f t="shared" si="24"/>
        <v/>
      </c>
      <c r="DV220" s="104" t="str">
        <f>ABA!$A220</f>
        <v/>
      </c>
      <c r="DW220" s="98" t="str">
        <f t="shared" si="25"/>
        <v/>
      </c>
    </row>
    <row r="221" ht="15.75" customHeight="1">
      <c r="A221" s="78"/>
      <c r="B221" s="105"/>
      <c r="C221" s="82"/>
      <c r="D221" s="82"/>
      <c r="E221" s="83"/>
      <c r="F221" s="82"/>
      <c r="G221" s="82"/>
      <c r="H221" s="82"/>
      <c r="I221" s="83"/>
      <c r="J221" s="82"/>
      <c r="K221" s="82"/>
      <c r="L221" s="82"/>
      <c r="M221" s="83"/>
      <c r="N221" s="82"/>
      <c r="O221" s="82"/>
      <c r="P221" s="82"/>
      <c r="Q221" s="83"/>
      <c r="R221" s="82"/>
      <c r="S221" s="82"/>
      <c r="T221" s="82"/>
      <c r="U221" s="83"/>
      <c r="V221" s="82"/>
      <c r="W221" s="82"/>
      <c r="X221" s="82"/>
      <c r="Y221" s="83"/>
      <c r="Z221" s="82"/>
      <c r="AA221" s="82"/>
      <c r="AB221" s="82"/>
      <c r="AC221" s="83"/>
      <c r="AD221" s="82"/>
      <c r="AE221" s="82"/>
      <c r="AF221" s="82"/>
      <c r="AG221" s="83"/>
      <c r="AH221" s="82"/>
      <c r="AI221" s="82"/>
      <c r="AJ221" s="82"/>
      <c r="AK221" s="83"/>
      <c r="AL221" s="82"/>
      <c r="AM221" s="82"/>
      <c r="AN221" s="82"/>
      <c r="AO221" s="82"/>
      <c r="AP221" s="84" t="str">
        <f t="shared" si="2"/>
        <v/>
      </c>
      <c r="AQ221" s="9"/>
      <c r="AR221" s="9"/>
      <c r="AS221" s="8"/>
      <c r="AT221" s="9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8"/>
      <c r="BX221" s="9"/>
      <c r="BY221" s="9"/>
      <c r="BZ221" s="9"/>
      <c r="CA221" s="33"/>
      <c r="CB221" s="85" t="str">
        <f t="shared" si="3"/>
        <v/>
      </c>
      <c r="CC221" s="86" t="str">
        <f t="shared" si="4"/>
        <v/>
      </c>
      <c r="CD221" s="86" t="str">
        <f t="shared" si="5"/>
        <v/>
      </c>
      <c r="CE221" s="86" t="str">
        <f t="shared" si="6"/>
        <v/>
      </c>
      <c r="CF221" s="86" t="str">
        <f t="shared" si="7"/>
        <v/>
      </c>
      <c r="CG221" s="86" t="str">
        <f t="shared" si="8"/>
        <v/>
      </c>
      <c r="CH221" s="86" t="str">
        <f t="shared" si="9"/>
        <v/>
      </c>
      <c r="CI221" s="86" t="str">
        <f t="shared" si="10"/>
        <v/>
      </c>
      <c r="CJ221" s="86" t="str">
        <f t="shared" si="11"/>
        <v/>
      </c>
      <c r="CK221" s="86" t="str">
        <f t="shared" si="12"/>
        <v/>
      </c>
      <c r="CL221" s="86" t="str">
        <f t="shared" si="13"/>
        <v/>
      </c>
      <c r="CM221" s="87" t="str">
        <f t="shared" si="14"/>
        <v/>
      </c>
      <c r="CN221" s="88" t="str">
        <f t="shared" si="26"/>
        <v/>
      </c>
      <c r="CO221" s="88" t="str">
        <f t="shared" si="15"/>
        <v/>
      </c>
      <c r="CP221" s="88" t="str">
        <f t="shared" si="16"/>
        <v/>
      </c>
      <c r="CQ221" s="88" t="str">
        <f t="shared" si="17"/>
        <v/>
      </c>
      <c r="CR221" s="88" t="str">
        <f t="shared" si="18"/>
        <v/>
      </c>
      <c r="CS221" s="88" t="str">
        <f t="shared" si="19"/>
        <v/>
      </c>
      <c r="CT221" s="88" t="str">
        <f t="shared" si="20"/>
        <v/>
      </c>
      <c r="CU221" s="88" t="str">
        <f t="shared" si="21"/>
        <v/>
      </c>
      <c r="CV221" s="88" t="str">
        <f t="shared" si="22"/>
        <v/>
      </c>
      <c r="CW221" s="88" t="str">
        <f t="shared" si="23"/>
        <v/>
      </c>
      <c r="CX221" s="7"/>
      <c r="CY221" s="7"/>
      <c r="CZ221" s="7"/>
      <c r="DA221" s="8"/>
      <c r="DU221" s="104" t="str">
        <f t="shared" si="24"/>
        <v/>
      </c>
      <c r="DV221" s="93" t="str">
        <f>ABA!$A221</f>
        <v/>
      </c>
      <c r="DW221" s="82" t="str">
        <f t="shared" si="25"/>
        <v/>
      </c>
    </row>
    <row r="222" ht="15.75" customHeight="1">
      <c r="A222" s="85"/>
      <c r="B222" s="107"/>
      <c r="C222" s="98"/>
      <c r="D222" s="98"/>
      <c r="E222" s="99"/>
      <c r="F222" s="98"/>
      <c r="G222" s="98"/>
      <c r="H222" s="98"/>
      <c r="I222" s="99"/>
      <c r="J222" s="98"/>
      <c r="K222" s="98"/>
      <c r="L222" s="98"/>
      <c r="M222" s="99"/>
      <c r="N222" s="98"/>
      <c r="O222" s="98"/>
      <c r="P222" s="98"/>
      <c r="Q222" s="99"/>
      <c r="R222" s="98"/>
      <c r="S222" s="98"/>
      <c r="T222" s="98"/>
      <c r="U222" s="99"/>
      <c r="V222" s="98"/>
      <c r="W222" s="98"/>
      <c r="X222" s="98"/>
      <c r="Y222" s="100"/>
      <c r="Z222" s="98"/>
      <c r="AA222" s="98"/>
      <c r="AB222" s="98"/>
      <c r="AC222" s="99"/>
      <c r="AD222" s="98"/>
      <c r="AE222" s="98"/>
      <c r="AF222" s="98"/>
      <c r="AG222" s="99"/>
      <c r="AH222" s="98"/>
      <c r="AI222" s="98"/>
      <c r="AJ222" s="98"/>
      <c r="AK222" s="99"/>
      <c r="AL222" s="98"/>
      <c r="AM222" s="98"/>
      <c r="AN222" s="98"/>
      <c r="AO222" s="98"/>
      <c r="AP222" s="84" t="str">
        <f t="shared" si="2"/>
        <v/>
      </c>
      <c r="AQ222" s="9"/>
      <c r="AR222" s="9"/>
      <c r="AS222" s="8"/>
      <c r="AT222" s="9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8"/>
      <c r="BX222" s="9"/>
      <c r="BY222" s="9"/>
      <c r="BZ222" s="9"/>
      <c r="CA222" s="33"/>
      <c r="CB222" s="85" t="str">
        <f t="shared" si="3"/>
        <v/>
      </c>
      <c r="CC222" s="86" t="str">
        <f t="shared" si="4"/>
        <v/>
      </c>
      <c r="CD222" s="86" t="str">
        <f t="shared" si="5"/>
        <v/>
      </c>
      <c r="CE222" s="86" t="str">
        <f t="shared" si="6"/>
        <v/>
      </c>
      <c r="CF222" s="86" t="str">
        <f t="shared" si="7"/>
        <v/>
      </c>
      <c r="CG222" s="86" t="str">
        <f t="shared" si="8"/>
        <v/>
      </c>
      <c r="CH222" s="86" t="str">
        <f t="shared" si="9"/>
        <v/>
      </c>
      <c r="CI222" s="86" t="str">
        <f t="shared" si="10"/>
        <v/>
      </c>
      <c r="CJ222" s="86" t="str">
        <f t="shared" si="11"/>
        <v/>
      </c>
      <c r="CK222" s="86" t="str">
        <f t="shared" si="12"/>
        <v/>
      </c>
      <c r="CL222" s="86" t="str">
        <f t="shared" si="13"/>
        <v/>
      </c>
      <c r="CM222" s="87" t="str">
        <f t="shared" si="14"/>
        <v/>
      </c>
      <c r="CN222" s="88" t="str">
        <f t="shared" si="26"/>
        <v/>
      </c>
      <c r="CO222" s="88" t="str">
        <f t="shared" si="15"/>
        <v/>
      </c>
      <c r="CP222" s="88" t="str">
        <f t="shared" si="16"/>
        <v/>
      </c>
      <c r="CQ222" s="88" t="str">
        <f t="shared" si="17"/>
        <v/>
      </c>
      <c r="CR222" s="88" t="str">
        <f t="shared" si="18"/>
        <v/>
      </c>
      <c r="CS222" s="88" t="str">
        <f t="shared" si="19"/>
        <v/>
      </c>
      <c r="CT222" s="88" t="str">
        <f t="shared" si="20"/>
        <v/>
      </c>
      <c r="CU222" s="88" t="str">
        <f t="shared" si="21"/>
        <v/>
      </c>
      <c r="CV222" s="88" t="str">
        <f t="shared" si="22"/>
        <v/>
      </c>
      <c r="CW222" s="88" t="str">
        <f t="shared" si="23"/>
        <v/>
      </c>
      <c r="CX222" s="7"/>
      <c r="CY222" s="7"/>
      <c r="CZ222" s="7"/>
      <c r="DA222" s="8"/>
      <c r="DU222" s="93" t="str">
        <f t="shared" si="24"/>
        <v/>
      </c>
      <c r="DV222" s="104" t="str">
        <f>ABA!$A222</f>
        <v/>
      </c>
      <c r="DW222" s="98" t="str">
        <f t="shared" si="25"/>
        <v/>
      </c>
    </row>
    <row r="223" ht="15.75" customHeight="1">
      <c r="A223" s="78"/>
      <c r="B223" s="105"/>
      <c r="C223" s="82"/>
      <c r="D223" s="82"/>
      <c r="E223" s="83"/>
      <c r="F223" s="82"/>
      <c r="G223" s="82"/>
      <c r="H223" s="82"/>
      <c r="I223" s="83"/>
      <c r="J223" s="82"/>
      <c r="K223" s="82"/>
      <c r="L223" s="82"/>
      <c r="M223" s="83"/>
      <c r="N223" s="82"/>
      <c r="O223" s="82"/>
      <c r="P223" s="82"/>
      <c r="Q223" s="83"/>
      <c r="R223" s="82"/>
      <c r="S223" s="82"/>
      <c r="T223" s="82"/>
      <c r="U223" s="83"/>
      <c r="V223" s="82"/>
      <c r="W223" s="82"/>
      <c r="X223" s="82"/>
      <c r="Y223" s="83"/>
      <c r="Z223" s="82"/>
      <c r="AA223" s="82"/>
      <c r="AB223" s="82"/>
      <c r="AC223" s="83"/>
      <c r="AD223" s="82"/>
      <c r="AE223" s="82"/>
      <c r="AF223" s="82"/>
      <c r="AG223" s="83"/>
      <c r="AH223" s="82"/>
      <c r="AI223" s="82"/>
      <c r="AJ223" s="82"/>
      <c r="AK223" s="83"/>
      <c r="AL223" s="82"/>
      <c r="AM223" s="82"/>
      <c r="AN223" s="82"/>
      <c r="AO223" s="82"/>
      <c r="AP223" s="84" t="str">
        <f t="shared" si="2"/>
        <v/>
      </c>
      <c r="AQ223" s="9"/>
      <c r="AR223" s="9"/>
      <c r="AS223" s="8"/>
      <c r="AT223" s="9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8"/>
      <c r="BX223" s="9"/>
      <c r="BY223" s="9"/>
      <c r="BZ223" s="9"/>
      <c r="CA223" s="33"/>
      <c r="CB223" s="85" t="str">
        <f t="shared" si="3"/>
        <v/>
      </c>
      <c r="CC223" s="86" t="str">
        <f t="shared" si="4"/>
        <v/>
      </c>
      <c r="CD223" s="86" t="str">
        <f t="shared" si="5"/>
        <v/>
      </c>
      <c r="CE223" s="86" t="str">
        <f t="shared" si="6"/>
        <v/>
      </c>
      <c r="CF223" s="86" t="str">
        <f t="shared" si="7"/>
        <v/>
      </c>
      <c r="CG223" s="86" t="str">
        <f t="shared" si="8"/>
        <v/>
      </c>
      <c r="CH223" s="86" t="str">
        <f t="shared" si="9"/>
        <v/>
      </c>
      <c r="CI223" s="86" t="str">
        <f t="shared" si="10"/>
        <v/>
      </c>
      <c r="CJ223" s="86" t="str">
        <f t="shared" si="11"/>
        <v/>
      </c>
      <c r="CK223" s="86" t="str">
        <f t="shared" si="12"/>
        <v/>
      </c>
      <c r="CL223" s="86" t="str">
        <f t="shared" si="13"/>
        <v/>
      </c>
      <c r="CM223" s="87" t="str">
        <f t="shared" si="14"/>
        <v/>
      </c>
      <c r="CN223" s="88" t="str">
        <f t="shared" si="26"/>
        <v/>
      </c>
      <c r="CO223" s="88" t="str">
        <f t="shared" si="15"/>
        <v/>
      </c>
      <c r="CP223" s="88" t="str">
        <f t="shared" si="16"/>
        <v/>
      </c>
      <c r="CQ223" s="88" t="str">
        <f t="shared" si="17"/>
        <v/>
      </c>
      <c r="CR223" s="88" t="str">
        <f t="shared" si="18"/>
        <v/>
      </c>
      <c r="CS223" s="88" t="str">
        <f t="shared" si="19"/>
        <v/>
      </c>
      <c r="CT223" s="88" t="str">
        <f t="shared" si="20"/>
        <v/>
      </c>
      <c r="CU223" s="88" t="str">
        <f t="shared" si="21"/>
        <v/>
      </c>
      <c r="CV223" s="88" t="str">
        <f t="shared" si="22"/>
        <v/>
      </c>
      <c r="CW223" s="88" t="str">
        <f t="shared" si="23"/>
        <v/>
      </c>
      <c r="CX223" s="7"/>
      <c r="CY223" s="7"/>
      <c r="CZ223" s="7"/>
      <c r="DA223" s="8"/>
      <c r="DU223" s="104" t="str">
        <f t="shared" si="24"/>
        <v/>
      </c>
      <c r="DV223" s="93" t="str">
        <f>ABA!$A223</f>
        <v/>
      </c>
      <c r="DW223" s="82" t="str">
        <f t="shared" si="25"/>
        <v/>
      </c>
    </row>
    <row r="224" ht="15.75" customHeight="1">
      <c r="A224" s="85"/>
      <c r="B224" s="107"/>
      <c r="C224" s="98"/>
      <c r="D224" s="98"/>
      <c r="E224" s="99"/>
      <c r="F224" s="98"/>
      <c r="G224" s="98"/>
      <c r="H224" s="98"/>
      <c r="I224" s="99"/>
      <c r="J224" s="98"/>
      <c r="K224" s="98"/>
      <c r="L224" s="98"/>
      <c r="M224" s="99"/>
      <c r="N224" s="98"/>
      <c r="O224" s="98"/>
      <c r="P224" s="98"/>
      <c r="Q224" s="99"/>
      <c r="R224" s="98"/>
      <c r="S224" s="98"/>
      <c r="T224" s="98"/>
      <c r="U224" s="99"/>
      <c r="V224" s="98"/>
      <c r="W224" s="98"/>
      <c r="X224" s="98"/>
      <c r="Y224" s="100"/>
      <c r="Z224" s="98"/>
      <c r="AA224" s="98"/>
      <c r="AB224" s="98"/>
      <c r="AC224" s="99"/>
      <c r="AD224" s="98"/>
      <c r="AE224" s="98"/>
      <c r="AF224" s="98"/>
      <c r="AG224" s="99"/>
      <c r="AH224" s="98"/>
      <c r="AI224" s="98"/>
      <c r="AJ224" s="98"/>
      <c r="AK224" s="99"/>
      <c r="AL224" s="98"/>
      <c r="AM224" s="98"/>
      <c r="AN224" s="98"/>
      <c r="AO224" s="98"/>
      <c r="AP224" s="84" t="str">
        <f t="shared" si="2"/>
        <v/>
      </c>
      <c r="AQ224" s="9"/>
      <c r="AR224" s="9"/>
      <c r="AS224" s="8"/>
      <c r="AT224" s="9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8"/>
      <c r="BX224" s="9"/>
      <c r="BY224" s="9"/>
      <c r="BZ224" s="9"/>
      <c r="CA224" s="33"/>
      <c r="CB224" s="85" t="str">
        <f t="shared" si="3"/>
        <v/>
      </c>
      <c r="CC224" s="86" t="str">
        <f t="shared" si="4"/>
        <v/>
      </c>
      <c r="CD224" s="86" t="str">
        <f t="shared" si="5"/>
        <v/>
      </c>
      <c r="CE224" s="86" t="str">
        <f t="shared" si="6"/>
        <v/>
      </c>
      <c r="CF224" s="86" t="str">
        <f t="shared" si="7"/>
        <v/>
      </c>
      <c r="CG224" s="86" t="str">
        <f t="shared" si="8"/>
        <v/>
      </c>
      <c r="CH224" s="86" t="str">
        <f t="shared" si="9"/>
        <v/>
      </c>
      <c r="CI224" s="86" t="str">
        <f t="shared" si="10"/>
        <v/>
      </c>
      <c r="CJ224" s="86" t="str">
        <f t="shared" si="11"/>
        <v/>
      </c>
      <c r="CK224" s="86" t="str">
        <f t="shared" si="12"/>
        <v/>
      </c>
      <c r="CL224" s="86" t="str">
        <f t="shared" si="13"/>
        <v/>
      </c>
      <c r="CM224" s="87" t="str">
        <f t="shared" si="14"/>
        <v/>
      </c>
      <c r="CN224" s="88" t="str">
        <f t="shared" si="26"/>
        <v/>
      </c>
      <c r="CO224" s="88" t="str">
        <f t="shared" si="15"/>
        <v/>
      </c>
      <c r="CP224" s="88" t="str">
        <f t="shared" si="16"/>
        <v/>
      </c>
      <c r="CQ224" s="88" t="str">
        <f t="shared" si="17"/>
        <v/>
      </c>
      <c r="CR224" s="88" t="str">
        <f t="shared" si="18"/>
        <v/>
      </c>
      <c r="CS224" s="88" t="str">
        <f t="shared" si="19"/>
        <v/>
      </c>
      <c r="CT224" s="88" t="str">
        <f t="shared" si="20"/>
        <v/>
      </c>
      <c r="CU224" s="88" t="str">
        <f t="shared" si="21"/>
        <v/>
      </c>
      <c r="CV224" s="88" t="str">
        <f t="shared" si="22"/>
        <v/>
      </c>
      <c r="CW224" s="88" t="str">
        <f t="shared" si="23"/>
        <v/>
      </c>
      <c r="CX224" s="7"/>
      <c r="CY224" s="7"/>
      <c r="CZ224" s="7"/>
      <c r="DA224" s="8"/>
      <c r="DU224" s="93" t="str">
        <f t="shared" si="24"/>
        <v/>
      </c>
      <c r="DV224" s="104" t="str">
        <f>ABA!$A224</f>
        <v/>
      </c>
      <c r="DW224" s="98" t="str">
        <f t="shared" si="25"/>
        <v/>
      </c>
    </row>
    <row r="225" ht="15.75" customHeight="1">
      <c r="A225" s="78"/>
      <c r="B225" s="105"/>
      <c r="C225" s="82"/>
      <c r="D225" s="82"/>
      <c r="E225" s="83"/>
      <c r="F225" s="82"/>
      <c r="G225" s="82"/>
      <c r="H225" s="82"/>
      <c r="I225" s="83"/>
      <c r="J225" s="82"/>
      <c r="K225" s="82"/>
      <c r="L225" s="82"/>
      <c r="M225" s="83"/>
      <c r="N225" s="82"/>
      <c r="O225" s="82"/>
      <c r="P225" s="82"/>
      <c r="Q225" s="83"/>
      <c r="R225" s="82"/>
      <c r="S225" s="82"/>
      <c r="T225" s="82"/>
      <c r="U225" s="83"/>
      <c r="V225" s="82"/>
      <c r="W225" s="82"/>
      <c r="X225" s="82"/>
      <c r="Y225" s="83"/>
      <c r="Z225" s="82"/>
      <c r="AA225" s="82"/>
      <c r="AB225" s="82"/>
      <c r="AC225" s="83"/>
      <c r="AD225" s="82"/>
      <c r="AE225" s="82"/>
      <c r="AF225" s="82"/>
      <c r="AG225" s="83"/>
      <c r="AH225" s="82"/>
      <c r="AI225" s="82"/>
      <c r="AJ225" s="82"/>
      <c r="AK225" s="83"/>
      <c r="AL225" s="82"/>
      <c r="AM225" s="82"/>
      <c r="AN225" s="82"/>
      <c r="AO225" s="82"/>
      <c r="AP225" s="84" t="str">
        <f t="shared" si="2"/>
        <v/>
      </c>
      <c r="AQ225" s="9"/>
      <c r="AR225" s="9"/>
      <c r="AS225" s="8"/>
      <c r="AT225" s="9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8"/>
      <c r="BX225" s="9"/>
      <c r="BY225" s="9"/>
      <c r="BZ225" s="9"/>
      <c r="CA225" s="33"/>
      <c r="CB225" s="85" t="str">
        <f t="shared" si="3"/>
        <v/>
      </c>
      <c r="CC225" s="86" t="str">
        <f t="shared" si="4"/>
        <v/>
      </c>
      <c r="CD225" s="86" t="str">
        <f t="shared" si="5"/>
        <v/>
      </c>
      <c r="CE225" s="86" t="str">
        <f t="shared" si="6"/>
        <v/>
      </c>
      <c r="CF225" s="86" t="str">
        <f t="shared" si="7"/>
        <v/>
      </c>
      <c r="CG225" s="86" t="str">
        <f t="shared" si="8"/>
        <v/>
      </c>
      <c r="CH225" s="86" t="str">
        <f t="shared" si="9"/>
        <v/>
      </c>
      <c r="CI225" s="86" t="str">
        <f t="shared" si="10"/>
        <v/>
      </c>
      <c r="CJ225" s="86" t="str">
        <f t="shared" si="11"/>
        <v/>
      </c>
      <c r="CK225" s="86" t="str">
        <f t="shared" si="12"/>
        <v/>
      </c>
      <c r="CL225" s="86" t="str">
        <f t="shared" si="13"/>
        <v/>
      </c>
      <c r="CM225" s="87" t="str">
        <f t="shared" si="14"/>
        <v/>
      </c>
      <c r="CN225" s="88" t="str">
        <f t="shared" si="26"/>
        <v/>
      </c>
      <c r="CO225" s="88" t="str">
        <f t="shared" si="15"/>
        <v/>
      </c>
      <c r="CP225" s="88" t="str">
        <f t="shared" si="16"/>
        <v/>
      </c>
      <c r="CQ225" s="88" t="str">
        <f t="shared" si="17"/>
        <v/>
      </c>
      <c r="CR225" s="88" t="str">
        <f t="shared" si="18"/>
        <v/>
      </c>
      <c r="CS225" s="88" t="str">
        <f t="shared" si="19"/>
        <v/>
      </c>
      <c r="CT225" s="88" t="str">
        <f t="shared" si="20"/>
        <v/>
      </c>
      <c r="CU225" s="88" t="str">
        <f t="shared" si="21"/>
        <v/>
      </c>
      <c r="CV225" s="88" t="str">
        <f t="shared" si="22"/>
        <v/>
      </c>
      <c r="CW225" s="88" t="str">
        <f t="shared" si="23"/>
        <v/>
      </c>
      <c r="CX225" s="7"/>
      <c r="CY225" s="7"/>
      <c r="CZ225" s="7"/>
      <c r="DA225" s="8"/>
      <c r="DU225" s="104" t="str">
        <f t="shared" si="24"/>
        <v/>
      </c>
      <c r="DV225" s="93" t="str">
        <f>ABA!$A225</f>
        <v/>
      </c>
      <c r="DW225" s="82" t="str">
        <f t="shared" si="25"/>
        <v/>
      </c>
    </row>
    <row r="226" ht="15.75" customHeight="1">
      <c r="A226" s="85"/>
      <c r="B226" s="107"/>
      <c r="C226" s="98"/>
      <c r="D226" s="98"/>
      <c r="E226" s="99"/>
      <c r="F226" s="98"/>
      <c r="G226" s="98"/>
      <c r="H226" s="98"/>
      <c r="I226" s="99"/>
      <c r="J226" s="98"/>
      <c r="K226" s="98"/>
      <c r="L226" s="98"/>
      <c r="M226" s="99"/>
      <c r="N226" s="98"/>
      <c r="O226" s="98"/>
      <c r="P226" s="98"/>
      <c r="Q226" s="99"/>
      <c r="R226" s="98"/>
      <c r="S226" s="98"/>
      <c r="T226" s="98"/>
      <c r="U226" s="99"/>
      <c r="V226" s="98"/>
      <c r="W226" s="98"/>
      <c r="X226" s="98"/>
      <c r="Y226" s="100"/>
      <c r="Z226" s="98"/>
      <c r="AA226" s="98"/>
      <c r="AB226" s="98"/>
      <c r="AC226" s="99"/>
      <c r="AD226" s="98"/>
      <c r="AE226" s="98"/>
      <c r="AF226" s="98"/>
      <c r="AG226" s="99"/>
      <c r="AH226" s="98"/>
      <c r="AI226" s="98"/>
      <c r="AJ226" s="98"/>
      <c r="AK226" s="99"/>
      <c r="AL226" s="98"/>
      <c r="AM226" s="98"/>
      <c r="AN226" s="98"/>
      <c r="AO226" s="98"/>
      <c r="AP226" s="84" t="str">
        <f t="shared" si="2"/>
        <v/>
      </c>
      <c r="AQ226" s="9"/>
      <c r="AR226" s="9"/>
      <c r="AS226" s="8"/>
      <c r="AT226" s="9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8"/>
      <c r="BX226" s="9"/>
      <c r="BY226" s="9"/>
      <c r="BZ226" s="9"/>
      <c r="CA226" s="33"/>
      <c r="CB226" s="85" t="str">
        <f t="shared" si="3"/>
        <v/>
      </c>
      <c r="CC226" s="86" t="str">
        <f t="shared" si="4"/>
        <v/>
      </c>
      <c r="CD226" s="86" t="str">
        <f t="shared" si="5"/>
        <v/>
      </c>
      <c r="CE226" s="86" t="str">
        <f t="shared" si="6"/>
        <v/>
      </c>
      <c r="CF226" s="86" t="str">
        <f t="shared" si="7"/>
        <v/>
      </c>
      <c r="CG226" s="86" t="str">
        <f t="shared" si="8"/>
        <v/>
      </c>
      <c r="CH226" s="86" t="str">
        <f t="shared" si="9"/>
        <v/>
      </c>
      <c r="CI226" s="86" t="str">
        <f t="shared" si="10"/>
        <v/>
      </c>
      <c r="CJ226" s="86" t="str">
        <f t="shared" si="11"/>
        <v/>
      </c>
      <c r="CK226" s="86" t="str">
        <f t="shared" si="12"/>
        <v/>
      </c>
      <c r="CL226" s="86" t="str">
        <f t="shared" si="13"/>
        <v/>
      </c>
      <c r="CM226" s="87" t="str">
        <f t="shared" si="14"/>
        <v/>
      </c>
      <c r="CN226" s="88" t="str">
        <f t="shared" si="26"/>
        <v/>
      </c>
      <c r="CO226" s="88" t="str">
        <f t="shared" si="15"/>
        <v/>
      </c>
      <c r="CP226" s="88" t="str">
        <f t="shared" si="16"/>
        <v/>
      </c>
      <c r="CQ226" s="88" t="str">
        <f t="shared" si="17"/>
        <v/>
      </c>
      <c r="CR226" s="88" t="str">
        <f t="shared" si="18"/>
        <v/>
      </c>
      <c r="CS226" s="88" t="str">
        <f t="shared" si="19"/>
        <v/>
      </c>
      <c r="CT226" s="88" t="str">
        <f t="shared" si="20"/>
        <v/>
      </c>
      <c r="CU226" s="88" t="str">
        <f t="shared" si="21"/>
        <v/>
      </c>
      <c r="CV226" s="88" t="str">
        <f t="shared" si="22"/>
        <v/>
      </c>
      <c r="CW226" s="88" t="str">
        <f t="shared" si="23"/>
        <v/>
      </c>
      <c r="CX226" s="7"/>
      <c r="CY226" s="7"/>
      <c r="CZ226" s="7"/>
      <c r="DA226" s="8"/>
      <c r="DU226" s="93" t="str">
        <f t="shared" si="24"/>
        <v/>
      </c>
      <c r="DV226" s="104" t="str">
        <f>ABA!$A226</f>
        <v/>
      </c>
      <c r="DW226" s="98" t="str">
        <f t="shared" si="25"/>
        <v/>
      </c>
    </row>
    <row r="227" ht="15.75" customHeight="1">
      <c r="A227" s="78"/>
      <c r="B227" s="105"/>
      <c r="C227" s="82"/>
      <c r="D227" s="82"/>
      <c r="E227" s="83"/>
      <c r="F227" s="82"/>
      <c r="G227" s="82"/>
      <c r="H227" s="82"/>
      <c r="I227" s="83"/>
      <c r="J227" s="82"/>
      <c r="K227" s="82"/>
      <c r="L227" s="82"/>
      <c r="M227" s="83"/>
      <c r="N227" s="82"/>
      <c r="O227" s="82"/>
      <c r="P227" s="82"/>
      <c r="Q227" s="83"/>
      <c r="R227" s="82"/>
      <c r="S227" s="82"/>
      <c r="T227" s="82"/>
      <c r="U227" s="83"/>
      <c r="V227" s="82"/>
      <c r="W227" s="82"/>
      <c r="X227" s="82"/>
      <c r="Y227" s="83"/>
      <c r="Z227" s="82"/>
      <c r="AA227" s="82"/>
      <c r="AB227" s="82"/>
      <c r="AC227" s="83"/>
      <c r="AD227" s="82"/>
      <c r="AE227" s="82"/>
      <c r="AF227" s="82"/>
      <c r="AG227" s="83"/>
      <c r="AH227" s="82"/>
      <c r="AI227" s="82"/>
      <c r="AJ227" s="82"/>
      <c r="AK227" s="83"/>
      <c r="AL227" s="82"/>
      <c r="AM227" s="82"/>
      <c r="AN227" s="82"/>
      <c r="AO227" s="82"/>
      <c r="AP227" s="84" t="str">
        <f t="shared" si="2"/>
        <v/>
      </c>
      <c r="AQ227" s="9"/>
      <c r="AR227" s="9"/>
      <c r="AS227" s="8"/>
      <c r="AT227" s="9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8"/>
      <c r="BX227" s="9"/>
      <c r="BY227" s="9"/>
      <c r="BZ227" s="9"/>
      <c r="CA227" s="33"/>
      <c r="CB227" s="85" t="str">
        <f t="shared" si="3"/>
        <v/>
      </c>
      <c r="CC227" s="86" t="str">
        <f t="shared" si="4"/>
        <v/>
      </c>
      <c r="CD227" s="86" t="str">
        <f t="shared" si="5"/>
        <v/>
      </c>
      <c r="CE227" s="86" t="str">
        <f t="shared" si="6"/>
        <v/>
      </c>
      <c r="CF227" s="86" t="str">
        <f t="shared" si="7"/>
        <v/>
      </c>
      <c r="CG227" s="86" t="str">
        <f t="shared" si="8"/>
        <v/>
      </c>
      <c r="CH227" s="86" t="str">
        <f t="shared" si="9"/>
        <v/>
      </c>
      <c r="CI227" s="86" t="str">
        <f t="shared" si="10"/>
        <v/>
      </c>
      <c r="CJ227" s="86" t="str">
        <f t="shared" si="11"/>
        <v/>
      </c>
      <c r="CK227" s="86" t="str">
        <f t="shared" si="12"/>
        <v/>
      </c>
      <c r="CL227" s="86" t="str">
        <f t="shared" si="13"/>
        <v/>
      </c>
      <c r="CM227" s="87" t="str">
        <f t="shared" si="14"/>
        <v/>
      </c>
      <c r="CN227" s="88" t="str">
        <f t="shared" si="26"/>
        <v/>
      </c>
      <c r="CO227" s="88" t="str">
        <f t="shared" si="15"/>
        <v/>
      </c>
      <c r="CP227" s="88" t="str">
        <f t="shared" si="16"/>
        <v/>
      </c>
      <c r="CQ227" s="88" t="str">
        <f t="shared" si="17"/>
        <v/>
      </c>
      <c r="CR227" s="88" t="str">
        <f t="shared" si="18"/>
        <v/>
      </c>
      <c r="CS227" s="88" t="str">
        <f t="shared" si="19"/>
        <v/>
      </c>
      <c r="CT227" s="88" t="str">
        <f t="shared" si="20"/>
        <v/>
      </c>
      <c r="CU227" s="88" t="str">
        <f t="shared" si="21"/>
        <v/>
      </c>
      <c r="CV227" s="88" t="str">
        <f t="shared" si="22"/>
        <v/>
      </c>
      <c r="CW227" s="88" t="str">
        <f t="shared" si="23"/>
        <v/>
      </c>
      <c r="CX227" s="7"/>
      <c r="CY227" s="7"/>
      <c r="CZ227" s="7"/>
      <c r="DA227" s="8"/>
      <c r="DU227" s="104" t="str">
        <f t="shared" si="24"/>
        <v/>
      </c>
      <c r="DV227" s="93" t="str">
        <f>ABA!$A227</f>
        <v/>
      </c>
      <c r="DW227" s="82" t="str">
        <f t="shared" si="25"/>
        <v/>
      </c>
    </row>
    <row r="228" ht="15.75" customHeight="1">
      <c r="A228" s="85"/>
      <c r="B228" s="107"/>
      <c r="C228" s="98"/>
      <c r="D228" s="98"/>
      <c r="E228" s="99"/>
      <c r="F228" s="98"/>
      <c r="G228" s="98"/>
      <c r="H228" s="98"/>
      <c r="I228" s="99"/>
      <c r="J228" s="98"/>
      <c r="K228" s="98"/>
      <c r="L228" s="98"/>
      <c r="M228" s="99"/>
      <c r="N228" s="98"/>
      <c r="O228" s="98"/>
      <c r="P228" s="98"/>
      <c r="Q228" s="99"/>
      <c r="R228" s="98"/>
      <c r="S228" s="98"/>
      <c r="T228" s="98"/>
      <c r="U228" s="99"/>
      <c r="V228" s="98"/>
      <c r="W228" s="98"/>
      <c r="X228" s="98"/>
      <c r="Y228" s="100"/>
      <c r="Z228" s="98"/>
      <c r="AA228" s="98"/>
      <c r="AB228" s="98"/>
      <c r="AC228" s="99"/>
      <c r="AD228" s="98"/>
      <c r="AE228" s="98"/>
      <c r="AF228" s="98"/>
      <c r="AG228" s="99"/>
      <c r="AH228" s="98"/>
      <c r="AI228" s="98"/>
      <c r="AJ228" s="98"/>
      <c r="AK228" s="99"/>
      <c r="AL228" s="98"/>
      <c r="AM228" s="98"/>
      <c r="AN228" s="98"/>
      <c r="AO228" s="98"/>
      <c r="AP228" s="84" t="str">
        <f t="shared" si="2"/>
        <v/>
      </c>
      <c r="AQ228" s="9"/>
      <c r="AR228" s="9"/>
      <c r="AS228" s="8"/>
      <c r="AT228" s="9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8"/>
      <c r="BX228" s="9"/>
      <c r="BY228" s="9"/>
      <c r="BZ228" s="9"/>
      <c r="CA228" s="33"/>
      <c r="CB228" s="85" t="str">
        <f t="shared" si="3"/>
        <v/>
      </c>
      <c r="CC228" s="86" t="str">
        <f t="shared" si="4"/>
        <v/>
      </c>
      <c r="CD228" s="86" t="str">
        <f t="shared" si="5"/>
        <v/>
      </c>
      <c r="CE228" s="86" t="str">
        <f t="shared" si="6"/>
        <v/>
      </c>
      <c r="CF228" s="86" t="str">
        <f t="shared" si="7"/>
        <v/>
      </c>
      <c r="CG228" s="86" t="str">
        <f t="shared" si="8"/>
        <v/>
      </c>
      <c r="CH228" s="86" t="str">
        <f t="shared" si="9"/>
        <v/>
      </c>
      <c r="CI228" s="86" t="str">
        <f t="shared" si="10"/>
        <v/>
      </c>
      <c r="CJ228" s="86" t="str">
        <f t="shared" si="11"/>
        <v/>
      </c>
      <c r="CK228" s="86" t="str">
        <f t="shared" si="12"/>
        <v/>
      </c>
      <c r="CL228" s="86" t="str">
        <f t="shared" si="13"/>
        <v/>
      </c>
      <c r="CM228" s="87" t="str">
        <f t="shared" si="14"/>
        <v/>
      </c>
      <c r="CN228" s="88" t="str">
        <f t="shared" si="26"/>
        <v/>
      </c>
      <c r="CO228" s="88" t="str">
        <f t="shared" si="15"/>
        <v/>
      </c>
      <c r="CP228" s="88" t="str">
        <f t="shared" si="16"/>
        <v/>
      </c>
      <c r="CQ228" s="88" t="str">
        <f t="shared" si="17"/>
        <v/>
      </c>
      <c r="CR228" s="88" t="str">
        <f t="shared" si="18"/>
        <v/>
      </c>
      <c r="CS228" s="88" t="str">
        <f t="shared" si="19"/>
        <v/>
      </c>
      <c r="CT228" s="88" t="str">
        <f t="shared" si="20"/>
        <v/>
      </c>
      <c r="CU228" s="88" t="str">
        <f t="shared" si="21"/>
        <v/>
      </c>
      <c r="CV228" s="88" t="str">
        <f t="shared" si="22"/>
        <v/>
      </c>
      <c r="CW228" s="88" t="str">
        <f t="shared" si="23"/>
        <v/>
      </c>
      <c r="CX228" s="7"/>
      <c r="CY228" s="7"/>
      <c r="CZ228" s="7"/>
      <c r="DA228" s="8"/>
      <c r="DU228" s="93" t="str">
        <f t="shared" si="24"/>
        <v/>
      </c>
      <c r="DV228" s="104" t="str">
        <f>ABA!$A228</f>
        <v/>
      </c>
      <c r="DW228" s="98" t="str">
        <f t="shared" si="25"/>
        <v/>
      </c>
    </row>
    <row r="229" ht="15.75" customHeight="1">
      <c r="A229" s="78"/>
      <c r="B229" s="105"/>
      <c r="C229" s="82"/>
      <c r="D229" s="82"/>
      <c r="E229" s="83"/>
      <c r="F229" s="82"/>
      <c r="G229" s="82"/>
      <c r="H229" s="82"/>
      <c r="I229" s="83"/>
      <c r="J229" s="82"/>
      <c r="K229" s="82"/>
      <c r="L229" s="82"/>
      <c r="M229" s="83"/>
      <c r="N229" s="82"/>
      <c r="O229" s="82"/>
      <c r="P229" s="82"/>
      <c r="Q229" s="83"/>
      <c r="R229" s="82"/>
      <c r="S229" s="82"/>
      <c r="T229" s="82"/>
      <c r="U229" s="83"/>
      <c r="V229" s="82"/>
      <c r="W229" s="82"/>
      <c r="X229" s="82"/>
      <c r="Y229" s="83"/>
      <c r="Z229" s="82"/>
      <c r="AA229" s="82"/>
      <c r="AB229" s="82"/>
      <c r="AC229" s="83"/>
      <c r="AD229" s="82"/>
      <c r="AE229" s="82"/>
      <c r="AF229" s="82"/>
      <c r="AG229" s="83"/>
      <c r="AH229" s="82"/>
      <c r="AI229" s="82"/>
      <c r="AJ229" s="82"/>
      <c r="AK229" s="83"/>
      <c r="AL229" s="82"/>
      <c r="AM229" s="82"/>
      <c r="AN229" s="82"/>
      <c r="AO229" s="82"/>
      <c r="AP229" s="84" t="str">
        <f t="shared" si="2"/>
        <v/>
      </c>
      <c r="AQ229" s="9"/>
      <c r="AR229" s="9"/>
      <c r="AS229" s="8"/>
      <c r="AT229" s="9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8"/>
      <c r="BX229" s="9"/>
      <c r="BY229" s="9"/>
      <c r="BZ229" s="9"/>
      <c r="CA229" s="33"/>
      <c r="CB229" s="85" t="str">
        <f t="shared" si="3"/>
        <v/>
      </c>
      <c r="CC229" s="86" t="str">
        <f t="shared" si="4"/>
        <v/>
      </c>
      <c r="CD229" s="86" t="str">
        <f t="shared" si="5"/>
        <v/>
      </c>
      <c r="CE229" s="86" t="str">
        <f t="shared" si="6"/>
        <v/>
      </c>
      <c r="CF229" s="86" t="str">
        <f t="shared" si="7"/>
        <v/>
      </c>
      <c r="CG229" s="86" t="str">
        <f t="shared" si="8"/>
        <v/>
      </c>
      <c r="CH229" s="86" t="str">
        <f t="shared" si="9"/>
        <v/>
      </c>
      <c r="CI229" s="86" t="str">
        <f t="shared" si="10"/>
        <v/>
      </c>
      <c r="CJ229" s="86" t="str">
        <f t="shared" si="11"/>
        <v/>
      </c>
      <c r="CK229" s="86" t="str">
        <f t="shared" si="12"/>
        <v/>
      </c>
      <c r="CL229" s="86" t="str">
        <f t="shared" si="13"/>
        <v/>
      </c>
      <c r="CM229" s="87" t="str">
        <f t="shared" si="14"/>
        <v/>
      </c>
      <c r="CN229" s="88" t="str">
        <f t="shared" si="26"/>
        <v/>
      </c>
      <c r="CO229" s="88" t="str">
        <f t="shared" si="15"/>
        <v/>
      </c>
      <c r="CP229" s="88" t="str">
        <f t="shared" si="16"/>
        <v/>
      </c>
      <c r="CQ229" s="88" t="str">
        <f t="shared" si="17"/>
        <v/>
      </c>
      <c r="CR229" s="88" t="str">
        <f t="shared" si="18"/>
        <v/>
      </c>
      <c r="CS229" s="88" t="str">
        <f t="shared" si="19"/>
        <v/>
      </c>
      <c r="CT229" s="88" t="str">
        <f t="shared" si="20"/>
        <v/>
      </c>
      <c r="CU229" s="88" t="str">
        <f t="shared" si="21"/>
        <v/>
      </c>
      <c r="CV229" s="88" t="str">
        <f t="shared" si="22"/>
        <v/>
      </c>
      <c r="CW229" s="88" t="str">
        <f t="shared" si="23"/>
        <v/>
      </c>
      <c r="CX229" s="7"/>
      <c r="CY229" s="7"/>
      <c r="CZ229" s="7"/>
      <c r="DA229" s="8"/>
      <c r="DU229" s="93" t="str">
        <f t="shared" si="24"/>
        <v/>
      </c>
      <c r="DV229" s="93" t="str">
        <f>ABA!$A229</f>
        <v/>
      </c>
      <c r="DW229" s="82" t="str">
        <f t="shared" si="25"/>
        <v/>
      </c>
    </row>
    <row r="230" ht="15.75" customHeight="1">
      <c r="A230" s="85"/>
      <c r="B230" s="107"/>
      <c r="C230" s="98"/>
      <c r="D230" s="98"/>
      <c r="E230" s="99"/>
      <c r="F230" s="98"/>
      <c r="G230" s="98"/>
      <c r="H230" s="98"/>
      <c r="I230" s="99"/>
      <c r="J230" s="98"/>
      <c r="K230" s="98"/>
      <c r="L230" s="98"/>
      <c r="M230" s="99"/>
      <c r="N230" s="98"/>
      <c r="O230" s="98"/>
      <c r="P230" s="98"/>
      <c r="Q230" s="99"/>
      <c r="R230" s="98"/>
      <c r="S230" s="98"/>
      <c r="T230" s="98"/>
      <c r="U230" s="99"/>
      <c r="V230" s="98"/>
      <c r="W230" s="98"/>
      <c r="X230" s="98"/>
      <c r="Y230" s="100"/>
      <c r="Z230" s="98"/>
      <c r="AA230" s="98"/>
      <c r="AB230" s="98"/>
      <c r="AC230" s="99"/>
      <c r="AD230" s="98"/>
      <c r="AE230" s="98"/>
      <c r="AF230" s="98"/>
      <c r="AG230" s="99"/>
      <c r="AH230" s="98"/>
      <c r="AI230" s="98"/>
      <c r="AJ230" s="98"/>
      <c r="AK230" s="99"/>
      <c r="AL230" s="98"/>
      <c r="AM230" s="98"/>
      <c r="AN230" s="98"/>
      <c r="AO230" s="98"/>
      <c r="AP230" s="84" t="str">
        <f t="shared" si="2"/>
        <v/>
      </c>
      <c r="AQ230" s="9"/>
      <c r="AR230" s="9"/>
      <c r="AS230" s="8"/>
      <c r="AT230" s="9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8"/>
      <c r="BX230" s="9"/>
      <c r="BY230" s="9"/>
      <c r="BZ230" s="9"/>
      <c r="CA230" s="33"/>
      <c r="CB230" s="85" t="str">
        <f t="shared" si="3"/>
        <v/>
      </c>
      <c r="CC230" s="86" t="str">
        <f t="shared" si="4"/>
        <v/>
      </c>
      <c r="CD230" s="86" t="str">
        <f t="shared" si="5"/>
        <v/>
      </c>
      <c r="CE230" s="86" t="str">
        <f t="shared" si="6"/>
        <v/>
      </c>
      <c r="CF230" s="86" t="str">
        <f t="shared" si="7"/>
        <v/>
      </c>
      <c r="CG230" s="86" t="str">
        <f t="shared" si="8"/>
        <v/>
      </c>
      <c r="CH230" s="86" t="str">
        <f t="shared" si="9"/>
        <v/>
      </c>
      <c r="CI230" s="86" t="str">
        <f t="shared" si="10"/>
        <v/>
      </c>
      <c r="CJ230" s="86" t="str">
        <f t="shared" si="11"/>
        <v/>
      </c>
      <c r="CK230" s="86" t="str">
        <f t="shared" si="12"/>
        <v/>
      </c>
      <c r="CL230" s="86" t="str">
        <f t="shared" si="13"/>
        <v/>
      </c>
      <c r="CM230" s="87" t="str">
        <f t="shared" si="14"/>
        <v/>
      </c>
      <c r="CN230" s="88" t="str">
        <f t="shared" si="26"/>
        <v/>
      </c>
      <c r="CO230" s="88" t="str">
        <f t="shared" si="15"/>
        <v/>
      </c>
      <c r="CP230" s="88" t="str">
        <f t="shared" si="16"/>
        <v/>
      </c>
      <c r="CQ230" s="88" t="str">
        <f t="shared" si="17"/>
        <v/>
      </c>
      <c r="CR230" s="88" t="str">
        <f t="shared" si="18"/>
        <v/>
      </c>
      <c r="CS230" s="88" t="str">
        <f t="shared" si="19"/>
        <v/>
      </c>
      <c r="CT230" s="88" t="str">
        <f t="shared" si="20"/>
        <v/>
      </c>
      <c r="CU230" s="88" t="str">
        <f t="shared" si="21"/>
        <v/>
      </c>
      <c r="CV230" s="88" t="str">
        <f t="shared" si="22"/>
        <v/>
      </c>
      <c r="CW230" s="88" t="str">
        <f t="shared" si="23"/>
        <v/>
      </c>
      <c r="CX230" s="7"/>
      <c r="CY230" s="7"/>
      <c r="CZ230" s="7"/>
      <c r="DA230" s="8"/>
      <c r="DU230" s="104" t="str">
        <f t="shared" si="24"/>
        <v/>
      </c>
      <c r="DV230" s="104" t="str">
        <f>ABA!$A230</f>
        <v/>
      </c>
      <c r="DW230" s="98" t="str">
        <f t="shared" si="25"/>
        <v/>
      </c>
    </row>
    <row r="231" ht="15.75" customHeight="1">
      <c r="A231" s="78"/>
      <c r="B231" s="105"/>
      <c r="C231" s="82"/>
      <c r="D231" s="82"/>
      <c r="E231" s="83"/>
      <c r="F231" s="82"/>
      <c r="G231" s="82"/>
      <c r="H231" s="82"/>
      <c r="I231" s="83"/>
      <c r="J231" s="82"/>
      <c r="K231" s="82"/>
      <c r="L231" s="82"/>
      <c r="M231" s="83"/>
      <c r="N231" s="82"/>
      <c r="O231" s="82"/>
      <c r="P231" s="82"/>
      <c r="Q231" s="83"/>
      <c r="R231" s="82"/>
      <c r="S231" s="82"/>
      <c r="T231" s="82"/>
      <c r="U231" s="83"/>
      <c r="V231" s="82"/>
      <c r="W231" s="82"/>
      <c r="X231" s="82"/>
      <c r="Y231" s="83"/>
      <c r="Z231" s="82"/>
      <c r="AA231" s="82"/>
      <c r="AB231" s="82"/>
      <c r="AC231" s="83"/>
      <c r="AD231" s="82"/>
      <c r="AE231" s="82"/>
      <c r="AF231" s="82"/>
      <c r="AG231" s="83"/>
      <c r="AH231" s="82"/>
      <c r="AI231" s="82"/>
      <c r="AJ231" s="82"/>
      <c r="AK231" s="83"/>
      <c r="AL231" s="82"/>
      <c r="AM231" s="82"/>
      <c r="AN231" s="82"/>
      <c r="AO231" s="82"/>
      <c r="AP231" s="84" t="str">
        <f t="shared" si="2"/>
        <v/>
      </c>
      <c r="AQ231" s="9"/>
      <c r="AR231" s="9"/>
      <c r="AS231" s="8"/>
      <c r="AT231" s="9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8"/>
      <c r="BX231" s="9"/>
      <c r="BY231" s="9"/>
      <c r="BZ231" s="9"/>
      <c r="CA231" s="33"/>
      <c r="CB231" s="85" t="str">
        <f t="shared" si="3"/>
        <v/>
      </c>
      <c r="CC231" s="86" t="str">
        <f t="shared" si="4"/>
        <v/>
      </c>
      <c r="CD231" s="86" t="str">
        <f t="shared" si="5"/>
        <v/>
      </c>
      <c r="CE231" s="86" t="str">
        <f t="shared" si="6"/>
        <v/>
      </c>
      <c r="CF231" s="86" t="str">
        <f t="shared" si="7"/>
        <v/>
      </c>
      <c r="CG231" s="86" t="str">
        <f t="shared" si="8"/>
        <v/>
      </c>
      <c r="CH231" s="86" t="str">
        <f t="shared" si="9"/>
        <v/>
      </c>
      <c r="CI231" s="86" t="str">
        <f t="shared" si="10"/>
        <v/>
      </c>
      <c r="CJ231" s="86" t="str">
        <f t="shared" si="11"/>
        <v/>
      </c>
      <c r="CK231" s="86" t="str">
        <f t="shared" si="12"/>
        <v/>
      </c>
      <c r="CL231" s="86" t="str">
        <f t="shared" si="13"/>
        <v/>
      </c>
      <c r="CM231" s="87" t="str">
        <f t="shared" si="14"/>
        <v/>
      </c>
      <c r="CN231" s="88" t="str">
        <f t="shared" si="26"/>
        <v/>
      </c>
      <c r="CO231" s="88" t="str">
        <f t="shared" si="15"/>
        <v/>
      </c>
      <c r="CP231" s="88" t="str">
        <f t="shared" si="16"/>
        <v/>
      </c>
      <c r="CQ231" s="88" t="str">
        <f t="shared" si="17"/>
        <v/>
      </c>
      <c r="CR231" s="88" t="str">
        <f t="shared" si="18"/>
        <v/>
      </c>
      <c r="CS231" s="88" t="str">
        <f t="shared" si="19"/>
        <v/>
      </c>
      <c r="CT231" s="88" t="str">
        <f t="shared" si="20"/>
        <v/>
      </c>
      <c r="CU231" s="88" t="str">
        <f t="shared" si="21"/>
        <v/>
      </c>
      <c r="CV231" s="88" t="str">
        <f t="shared" si="22"/>
        <v/>
      </c>
      <c r="CW231" s="88" t="str">
        <f t="shared" si="23"/>
        <v/>
      </c>
      <c r="CX231" s="7"/>
      <c r="CY231" s="7"/>
      <c r="CZ231" s="7"/>
      <c r="DA231" s="8"/>
      <c r="DU231" s="93" t="str">
        <f t="shared" si="24"/>
        <v/>
      </c>
      <c r="DV231" s="93" t="str">
        <f>ABA!$A231</f>
        <v/>
      </c>
      <c r="DW231" s="82" t="str">
        <f t="shared" si="25"/>
        <v/>
      </c>
    </row>
    <row r="232" ht="15.75" customHeight="1">
      <c r="A232" s="85"/>
      <c r="B232" s="107"/>
      <c r="C232" s="98"/>
      <c r="D232" s="98"/>
      <c r="E232" s="99"/>
      <c r="F232" s="98"/>
      <c r="G232" s="98"/>
      <c r="H232" s="98"/>
      <c r="I232" s="99"/>
      <c r="J232" s="98"/>
      <c r="K232" s="98"/>
      <c r="L232" s="98"/>
      <c r="M232" s="99"/>
      <c r="N232" s="98"/>
      <c r="O232" s="98"/>
      <c r="P232" s="98"/>
      <c r="Q232" s="99"/>
      <c r="R232" s="98"/>
      <c r="S232" s="98"/>
      <c r="T232" s="98"/>
      <c r="U232" s="99"/>
      <c r="V232" s="98"/>
      <c r="W232" s="98"/>
      <c r="X232" s="98"/>
      <c r="Y232" s="100"/>
      <c r="Z232" s="98"/>
      <c r="AA232" s="98"/>
      <c r="AB232" s="98"/>
      <c r="AC232" s="99"/>
      <c r="AD232" s="98"/>
      <c r="AE232" s="98"/>
      <c r="AF232" s="98"/>
      <c r="AG232" s="99"/>
      <c r="AH232" s="98"/>
      <c r="AI232" s="98"/>
      <c r="AJ232" s="98"/>
      <c r="AK232" s="99"/>
      <c r="AL232" s="98"/>
      <c r="AM232" s="98"/>
      <c r="AN232" s="98"/>
      <c r="AO232" s="98"/>
      <c r="AP232" s="84" t="str">
        <f t="shared" si="2"/>
        <v/>
      </c>
      <c r="AQ232" s="9"/>
      <c r="AR232" s="9"/>
      <c r="AS232" s="8"/>
      <c r="AT232" s="9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8"/>
      <c r="BX232" s="9"/>
      <c r="BY232" s="9"/>
      <c r="BZ232" s="9"/>
      <c r="CA232" s="33"/>
      <c r="CB232" s="85" t="str">
        <f t="shared" si="3"/>
        <v/>
      </c>
      <c r="CC232" s="86" t="str">
        <f t="shared" si="4"/>
        <v/>
      </c>
      <c r="CD232" s="86" t="str">
        <f t="shared" si="5"/>
        <v/>
      </c>
      <c r="CE232" s="86" t="str">
        <f t="shared" si="6"/>
        <v/>
      </c>
      <c r="CF232" s="86" t="str">
        <f t="shared" si="7"/>
        <v/>
      </c>
      <c r="CG232" s="86" t="str">
        <f t="shared" si="8"/>
        <v/>
      </c>
      <c r="CH232" s="86" t="str">
        <f t="shared" si="9"/>
        <v/>
      </c>
      <c r="CI232" s="86" t="str">
        <f t="shared" si="10"/>
        <v/>
      </c>
      <c r="CJ232" s="86" t="str">
        <f t="shared" si="11"/>
        <v/>
      </c>
      <c r="CK232" s="86" t="str">
        <f t="shared" si="12"/>
        <v/>
      </c>
      <c r="CL232" s="86" t="str">
        <f t="shared" si="13"/>
        <v/>
      </c>
      <c r="CM232" s="87" t="str">
        <f t="shared" si="14"/>
        <v/>
      </c>
      <c r="CN232" s="88" t="str">
        <f t="shared" si="26"/>
        <v/>
      </c>
      <c r="CO232" s="88" t="str">
        <f t="shared" si="15"/>
        <v/>
      </c>
      <c r="CP232" s="88" t="str">
        <f t="shared" si="16"/>
        <v/>
      </c>
      <c r="CQ232" s="88" t="str">
        <f t="shared" si="17"/>
        <v/>
      </c>
      <c r="CR232" s="88" t="str">
        <f t="shared" si="18"/>
        <v/>
      </c>
      <c r="CS232" s="88" t="str">
        <f t="shared" si="19"/>
        <v/>
      </c>
      <c r="CT232" s="88" t="str">
        <f t="shared" si="20"/>
        <v/>
      </c>
      <c r="CU232" s="88" t="str">
        <f t="shared" si="21"/>
        <v/>
      </c>
      <c r="CV232" s="88" t="str">
        <f t="shared" si="22"/>
        <v/>
      </c>
      <c r="CW232" s="88" t="str">
        <f t="shared" si="23"/>
        <v/>
      </c>
      <c r="CX232" s="7"/>
      <c r="CY232" s="7"/>
      <c r="CZ232" s="7"/>
      <c r="DA232" s="8"/>
      <c r="DU232" s="104" t="str">
        <f t="shared" si="24"/>
        <v/>
      </c>
      <c r="DV232" s="104" t="str">
        <f>ABA!$A232</f>
        <v/>
      </c>
      <c r="DW232" s="98" t="str">
        <f t="shared" si="25"/>
        <v/>
      </c>
    </row>
    <row r="233" ht="15.75" customHeight="1">
      <c r="A233" s="78"/>
      <c r="B233" s="105"/>
      <c r="C233" s="82"/>
      <c r="D233" s="82"/>
      <c r="E233" s="83"/>
      <c r="F233" s="82"/>
      <c r="G233" s="82"/>
      <c r="H233" s="82"/>
      <c r="I233" s="83"/>
      <c r="J233" s="82"/>
      <c r="K233" s="82"/>
      <c r="L233" s="82"/>
      <c r="M233" s="83"/>
      <c r="N233" s="82"/>
      <c r="O233" s="82"/>
      <c r="P233" s="82"/>
      <c r="Q233" s="83"/>
      <c r="R233" s="82"/>
      <c r="S233" s="82"/>
      <c r="T233" s="82"/>
      <c r="U233" s="83"/>
      <c r="V233" s="82"/>
      <c r="W233" s="82"/>
      <c r="X233" s="82"/>
      <c r="Y233" s="83"/>
      <c r="Z233" s="82"/>
      <c r="AA233" s="82"/>
      <c r="AB233" s="82"/>
      <c r="AC233" s="83"/>
      <c r="AD233" s="82"/>
      <c r="AE233" s="82"/>
      <c r="AF233" s="82"/>
      <c r="AG233" s="83"/>
      <c r="AH233" s="82"/>
      <c r="AI233" s="82"/>
      <c r="AJ233" s="82"/>
      <c r="AK233" s="83"/>
      <c r="AL233" s="82"/>
      <c r="AM233" s="82"/>
      <c r="AN233" s="82"/>
      <c r="AO233" s="82"/>
      <c r="AP233" s="84" t="str">
        <f t="shared" si="2"/>
        <v/>
      </c>
      <c r="AQ233" s="9"/>
      <c r="AR233" s="9"/>
      <c r="AS233" s="8"/>
      <c r="AT233" s="9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8"/>
      <c r="BX233" s="9"/>
      <c r="BY233" s="9"/>
      <c r="BZ233" s="9"/>
      <c r="CA233" s="33"/>
      <c r="CB233" s="85" t="str">
        <f t="shared" si="3"/>
        <v/>
      </c>
      <c r="CC233" s="86" t="str">
        <f t="shared" si="4"/>
        <v/>
      </c>
      <c r="CD233" s="86" t="str">
        <f t="shared" si="5"/>
        <v/>
      </c>
      <c r="CE233" s="86" t="str">
        <f t="shared" si="6"/>
        <v/>
      </c>
      <c r="CF233" s="86" t="str">
        <f t="shared" si="7"/>
        <v/>
      </c>
      <c r="CG233" s="86" t="str">
        <f t="shared" si="8"/>
        <v/>
      </c>
      <c r="CH233" s="86" t="str">
        <f t="shared" si="9"/>
        <v/>
      </c>
      <c r="CI233" s="86" t="str">
        <f t="shared" si="10"/>
        <v/>
      </c>
      <c r="CJ233" s="86" t="str">
        <f t="shared" si="11"/>
        <v/>
      </c>
      <c r="CK233" s="86" t="str">
        <f t="shared" si="12"/>
        <v/>
      </c>
      <c r="CL233" s="86" t="str">
        <f t="shared" si="13"/>
        <v/>
      </c>
      <c r="CM233" s="87" t="str">
        <f t="shared" si="14"/>
        <v/>
      </c>
      <c r="CN233" s="88" t="str">
        <f t="shared" si="26"/>
        <v/>
      </c>
      <c r="CO233" s="88" t="str">
        <f t="shared" si="15"/>
        <v/>
      </c>
      <c r="CP233" s="88" t="str">
        <f t="shared" si="16"/>
        <v/>
      </c>
      <c r="CQ233" s="88" t="str">
        <f t="shared" si="17"/>
        <v/>
      </c>
      <c r="CR233" s="88" t="str">
        <f t="shared" si="18"/>
        <v/>
      </c>
      <c r="CS233" s="88" t="str">
        <f t="shared" si="19"/>
        <v/>
      </c>
      <c r="CT233" s="88" t="str">
        <f t="shared" si="20"/>
        <v/>
      </c>
      <c r="CU233" s="88" t="str">
        <f t="shared" si="21"/>
        <v/>
      </c>
      <c r="CV233" s="88" t="str">
        <f t="shared" si="22"/>
        <v/>
      </c>
      <c r="CW233" s="88" t="str">
        <f t="shared" si="23"/>
        <v/>
      </c>
      <c r="CX233" s="7"/>
      <c r="CY233" s="7"/>
      <c r="CZ233" s="7"/>
      <c r="DA233" s="8"/>
      <c r="DU233" s="93" t="str">
        <f t="shared" si="24"/>
        <v/>
      </c>
      <c r="DV233" s="93" t="str">
        <f>ABA!$A233</f>
        <v/>
      </c>
      <c r="DW233" s="82" t="str">
        <f t="shared" si="25"/>
        <v/>
      </c>
    </row>
    <row r="234" ht="15.75" customHeight="1">
      <c r="A234" s="85"/>
      <c r="B234" s="107"/>
      <c r="C234" s="98"/>
      <c r="D234" s="98"/>
      <c r="E234" s="99"/>
      <c r="F234" s="98"/>
      <c r="G234" s="98"/>
      <c r="H234" s="98"/>
      <c r="I234" s="99"/>
      <c r="J234" s="98"/>
      <c r="K234" s="98"/>
      <c r="L234" s="98"/>
      <c r="M234" s="99"/>
      <c r="N234" s="98"/>
      <c r="O234" s="98"/>
      <c r="P234" s="98"/>
      <c r="Q234" s="99"/>
      <c r="R234" s="98"/>
      <c r="S234" s="98"/>
      <c r="T234" s="98"/>
      <c r="U234" s="99"/>
      <c r="V234" s="98"/>
      <c r="W234" s="98"/>
      <c r="X234" s="98"/>
      <c r="Y234" s="100"/>
      <c r="Z234" s="98"/>
      <c r="AA234" s="98"/>
      <c r="AB234" s="98"/>
      <c r="AC234" s="99"/>
      <c r="AD234" s="98"/>
      <c r="AE234" s="98"/>
      <c r="AF234" s="98"/>
      <c r="AG234" s="99"/>
      <c r="AH234" s="98"/>
      <c r="AI234" s="98"/>
      <c r="AJ234" s="98"/>
      <c r="AK234" s="99"/>
      <c r="AL234" s="98"/>
      <c r="AM234" s="98"/>
      <c r="AN234" s="98"/>
      <c r="AO234" s="98"/>
      <c r="AP234" s="84" t="str">
        <f t="shared" si="2"/>
        <v/>
      </c>
      <c r="AQ234" s="9"/>
      <c r="AR234" s="9"/>
      <c r="AS234" s="8"/>
      <c r="AT234" s="9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8"/>
      <c r="BX234" s="9"/>
      <c r="BY234" s="9"/>
      <c r="BZ234" s="9"/>
      <c r="CA234" s="33"/>
      <c r="CB234" s="85" t="str">
        <f t="shared" si="3"/>
        <v/>
      </c>
      <c r="CC234" s="86" t="str">
        <f t="shared" si="4"/>
        <v/>
      </c>
      <c r="CD234" s="86" t="str">
        <f t="shared" si="5"/>
        <v/>
      </c>
      <c r="CE234" s="86" t="str">
        <f t="shared" si="6"/>
        <v/>
      </c>
      <c r="CF234" s="86" t="str">
        <f t="shared" si="7"/>
        <v/>
      </c>
      <c r="CG234" s="86" t="str">
        <f t="shared" si="8"/>
        <v/>
      </c>
      <c r="CH234" s="86" t="str">
        <f t="shared" si="9"/>
        <v/>
      </c>
      <c r="CI234" s="86" t="str">
        <f t="shared" si="10"/>
        <v/>
      </c>
      <c r="CJ234" s="86" t="str">
        <f t="shared" si="11"/>
        <v/>
      </c>
      <c r="CK234" s="86" t="str">
        <f t="shared" si="12"/>
        <v/>
      </c>
      <c r="CL234" s="86" t="str">
        <f t="shared" si="13"/>
        <v/>
      </c>
      <c r="CM234" s="87" t="str">
        <f t="shared" si="14"/>
        <v/>
      </c>
      <c r="CN234" s="88" t="str">
        <f t="shared" si="26"/>
        <v/>
      </c>
      <c r="CO234" s="88" t="str">
        <f t="shared" si="15"/>
        <v/>
      </c>
      <c r="CP234" s="88" t="str">
        <f t="shared" si="16"/>
        <v/>
      </c>
      <c r="CQ234" s="88" t="str">
        <f t="shared" si="17"/>
        <v/>
      </c>
      <c r="CR234" s="88" t="str">
        <f t="shared" si="18"/>
        <v/>
      </c>
      <c r="CS234" s="88" t="str">
        <f t="shared" si="19"/>
        <v/>
      </c>
      <c r="CT234" s="88" t="str">
        <f t="shared" si="20"/>
        <v/>
      </c>
      <c r="CU234" s="88" t="str">
        <f t="shared" si="21"/>
        <v/>
      </c>
      <c r="CV234" s="88" t="str">
        <f t="shared" si="22"/>
        <v/>
      </c>
      <c r="CW234" s="88" t="str">
        <f t="shared" si="23"/>
        <v/>
      </c>
      <c r="CX234" s="7"/>
      <c r="CY234" s="7"/>
      <c r="CZ234" s="7"/>
      <c r="DA234" s="8"/>
      <c r="DU234" s="104" t="str">
        <f t="shared" si="24"/>
        <v/>
      </c>
      <c r="DV234" s="104" t="str">
        <f>ABA!$A234</f>
        <v/>
      </c>
      <c r="DW234" s="98" t="str">
        <f t="shared" si="25"/>
        <v/>
      </c>
    </row>
    <row r="235" ht="15.75" customHeight="1">
      <c r="A235" s="78"/>
      <c r="B235" s="105"/>
      <c r="C235" s="82"/>
      <c r="D235" s="82"/>
      <c r="E235" s="83"/>
      <c r="F235" s="82"/>
      <c r="G235" s="82"/>
      <c r="H235" s="82"/>
      <c r="I235" s="83"/>
      <c r="J235" s="82"/>
      <c r="K235" s="82"/>
      <c r="L235" s="82"/>
      <c r="M235" s="83"/>
      <c r="N235" s="82"/>
      <c r="O235" s="82"/>
      <c r="P235" s="82"/>
      <c r="Q235" s="83"/>
      <c r="R235" s="82"/>
      <c r="S235" s="82"/>
      <c r="T235" s="82"/>
      <c r="U235" s="83"/>
      <c r="V235" s="82"/>
      <c r="W235" s="82"/>
      <c r="X235" s="82"/>
      <c r="Y235" s="83"/>
      <c r="Z235" s="82"/>
      <c r="AA235" s="82"/>
      <c r="AB235" s="82"/>
      <c r="AC235" s="83"/>
      <c r="AD235" s="82"/>
      <c r="AE235" s="82"/>
      <c r="AF235" s="82"/>
      <c r="AG235" s="83"/>
      <c r="AH235" s="82"/>
      <c r="AI235" s="82"/>
      <c r="AJ235" s="82"/>
      <c r="AK235" s="83"/>
      <c r="AL235" s="82"/>
      <c r="AM235" s="82"/>
      <c r="AN235" s="82"/>
      <c r="AO235" s="82"/>
      <c r="AP235" s="84" t="str">
        <f t="shared" si="2"/>
        <v/>
      </c>
      <c r="AQ235" s="9"/>
      <c r="AR235" s="9"/>
      <c r="AS235" s="8"/>
      <c r="AT235" s="9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8"/>
      <c r="BX235" s="9"/>
      <c r="BY235" s="9"/>
      <c r="BZ235" s="9"/>
      <c r="CA235" s="33"/>
      <c r="CB235" s="85" t="str">
        <f t="shared" si="3"/>
        <v/>
      </c>
      <c r="CC235" s="86" t="str">
        <f t="shared" si="4"/>
        <v/>
      </c>
      <c r="CD235" s="86" t="str">
        <f t="shared" si="5"/>
        <v/>
      </c>
      <c r="CE235" s="86" t="str">
        <f t="shared" si="6"/>
        <v/>
      </c>
      <c r="CF235" s="86" t="str">
        <f t="shared" si="7"/>
        <v/>
      </c>
      <c r="CG235" s="86" t="str">
        <f t="shared" si="8"/>
        <v/>
      </c>
      <c r="CH235" s="86" t="str">
        <f t="shared" si="9"/>
        <v/>
      </c>
      <c r="CI235" s="86" t="str">
        <f t="shared" si="10"/>
        <v/>
      </c>
      <c r="CJ235" s="86" t="str">
        <f t="shared" si="11"/>
        <v/>
      </c>
      <c r="CK235" s="86" t="str">
        <f t="shared" si="12"/>
        <v/>
      </c>
      <c r="CL235" s="86" t="str">
        <f t="shared" si="13"/>
        <v/>
      </c>
      <c r="CM235" s="87" t="str">
        <f t="shared" si="14"/>
        <v/>
      </c>
      <c r="CN235" s="88" t="str">
        <f t="shared" si="26"/>
        <v/>
      </c>
      <c r="CO235" s="88" t="str">
        <f t="shared" si="15"/>
        <v/>
      </c>
      <c r="CP235" s="88" t="str">
        <f t="shared" si="16"/>
        <v/>
      </c>
      <c r="CQ235" s="88" t="str">
        <f t="shared" si="17"/>
        <v/>
      </c>
      <c r="CR235" s="88" t="str">
        <f t="shared" si="18"/>
        <v/>
      </c>
      <c r="CS235" s="88" t="str">
        <f t="shared" si="19"/>
        <v/>
      </c>
      <c r="CT235" s="88" t="str">
        <f t="shared" si="20"/>
        <v/>
      </c>
      <c r="CU235" s="88" t="str">
        <f t="shared" si="21"/>
        <v/>
      </c>
      <c r="CV235" s="88" t="str">
        <f t="shared" si="22"/>
        <v/>
      </c>
      <c r="CW235" s="88" t="str">
        <f t="shared" si="23"/>
        <v/>
      </c>
      <c r="CX235" s="7"/>
      <c r="CY235" s="7"/>
      <c r="CZ235" s="7"/>
      <c r="DA235" s="8"/>
      <c r="DU235" s="93" t="str">
        <f t="shared" si="24"/>
        <v/>
      </c>
      <c r="DV235" s="93" t="str">
        <f>ABA!$A235</f>
        <v/>
      </c>
      <c r="DW235" s="82" t="str">
        <f t="shared" si="25"/>
        <v/>
      </c>
    </row>
    <row r="236" ht="15.75" customHeight="1">
      <c r="A236" s="85"/>
      <c r="B236" s="107"/>
      <c r="C236" s="98"/>
      <c r="D236" s="98"/>
      <c r="E236" s="99"/>
      <c r="F236" s="98"/>
      <c r="G236" s="98"/>
      <c r="H236" s="98"/>
      <c r="I236" s="99"/>
      <c r="J236" s="98"/>
      <c r="K236" s="98"/>
      <c r="L236" s="98"/>
      <c r="M236" s="99"/>
      <c r="N236" s="98"/>
      <c r="O236" s="98"/>
      <c r="P236" s="98"/>
      <c r="Q236" s="99"/>
      <c r="R236" s="98"/>
      <c r="S236" s="98"/>
      <c r="T236" s="98"/>
      <c r="U236" s="99"/>
      <c r="V236" s="98"/>
      <c r="W236" s="98"/>
      <c r="X236" s="98"/>
      <c r="Y236" s="100"/>
      <c r="Z236" s="98"/>
      <c r="AA236" s="98"/>
      <c r="AB236" s="98"/>
      <c r="AC236" s="99"/>
      <c r="AD236" s="98"/>
      <c r="AE236" s="98"/>
      <c r="AF236" s="98"/>
      <c r="AG236" s="99"/>
      <c r="AH236" s="98"/>
      <c r="AI236" s="98"/>
      <c r="AJ236" s="98"/>
      <c r="AK236" s="99"/>
      <c r="AL236" s="98"/>
      <c r="AM236" s="98"/>
      <c r="AN236" s="98"/>
      <c r="AO236" s="98"/>
      <c r="AP236" s="84" t="str">
        <f t="shared" si="2"/>
        <v/>
      </c>
      <c r="AQ236" s="9"/>
      <c r="AR236" s="9"/>
      <c r="AS236" s="8"/>
      <c r="AT236" s="9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8"/>
      <c r="BX236" s="9"/>
      <c r="BY236" s="9"/>
      <c r="BZ236" s="9"/>
      <c r="CA236" s="33"/>
      <c r="CB236" s="85" t="str">
        <f t="shared" si="3"/>
        <v/>
      </c>
      <c r="CC236" s="86" t="str">
        <f t="shared" si="4"/>
        <v/>
      </c>
      <c r="CD236" s="86" t="str">
        <f t="shared" si="5"/>
        <v/>
      </c>
      <c r="CE236" s="86" t="str">
        <f t="shared" si="6"/>
        <v/>
      </c>
      <c r="CF236" s="86" t="str">
        <f t="shared" si="7"/>
        <v/>
      </c>
      <c r="CG236" s="86" t="str">
        <f t="shared" si="8"/>
        <v/>
      </c>
      <c r="CH236" s="86" t="str">
        <f t="shared" si="9"/>
        <v/>
      </c>
      <c r="CI236" s="86" t="str">
        <f t="shared" si="10"/>
        <v/>
      </c>
      <c r="CJ236" s="86" t="str">
        <f t="shared" si="11"/>
        <v/>
      </c>
      <c r="CK236" s="86" t="str">
        <f t="shared" si="12"/>
        <v/>
      </c>
      <c r="CL236" s="86" t="str">
        <f t="shared" si="13"/>
        <v/>
      </c>
      <c r="CM236" s="87" t="str">
        <f t="shared" si="14"/>
        <v/>
      </c>
      <c r="CN236" s="88" t="str">
        <f t="shared" si="26"/>
        <v/>
      </c>
      <c r="CO236" s="88" t="str">
        <f t="shared" si="15"/>
        <v/>
      </c>
      <c r="CP236" s="88" t="str">
        <f t="shared" si="16"/>
        <v/>
      </c>
      <c r="CQ236" s="88" t="str">
        <f t="shared" si="17"/>
        <v/>
      </c>
      <c r="CR236" s="88" t="str">
        <f t="shared" si="18"/>
        <v/>
      </c>
      <c r="CS236" s="88" t="str">
        <f t="shared" si="19"/>
        <v/>
      </c>
      <c r="CT236" s="88" t="str">
        <f t="shared" si="20"/>
        <v/>
      </c>
      <c r="CU236" s="88" t="str">
        <f t="shared" si="21"/>
        <v/>
      </c>
      <c r="CV236" s="88" t="str">
        <f t="shared" si="22"/>
        <v/>
      </c>
      <c r="CW236" s="88" t="str">
        <f t="shared" si="23"/>
        <v/>
      </c>
      <c r="CX236" s="7"/>
      <c r="CY236" s="7"/>
      <c r="CZ236" s="7"/>
      <c r="DA236" s="8"/>
      <c r="DU236" s="104" t="str">
        <f t="shared" si="24"/>
        <v/>
      </c>
      <c r="DV236" s="104" t="str">
        <f>ABA!$A236</f>
        <v/>
      </c>
      <c r="DW236" s="98" t="str">
        <f t="shared" si="25"/>
        <v/>
      </c>
    </row>
    <row r="237" ht="15.75" customHeight="1">
      <c r="A237" s="78"/>
      <c r="B237" s="105"/>
      <c r="C237" s="82"/>
      <c r="D237" s="82"/>
      <c r="E237" s="83"/>
      <c r="F237" s="82"/>
      <c r="G237" s="82"/>
      <c r="H237" s="82"/>
      <c r="I237" s="83"/>
      <c r="J237" s="82"/>
      <c r="K237" s="82"/>
      <c r="L237" s="82"/>
      <c r="M237" s="83"/>
      <c r="N237" s="82"/>
      <c r="O237" s="82"/>
      <c r="P237" s="82"/>
      <c r="Q237" s="83"/>
      <c r="R237" s="82"/>
      <c r="S237" s="82"/>
      <c r="T237" s="82"/>
      <c r="U237" s="83"/>
      <c r="V237" s="82"/>
      <c r="W237" s="82"/>
      <c r="X237" s="82"/>
      <c r="Y237" s="83"/>
      <c r="Z237" s="82"/>
      <c r="AA237" s="82"/>
      <c r="AB237" s="82"/>
      <c r="AC237" s="83"/>
      <c r="AD237" s="82"/>
      <c r="AE237" s="82"/>
      <c r="AF237" s="82"/>
      <c r="AG237" s="83"/>
      <c r="AH237" s="82"/>
      <c r="AI237" s="82"/>
      <c r="AJ237" s="82"/>
      <c r="AK237" s="83"/>
      <c r="AL237" s="82"/>
      <c r="AM237" s="82"/>
      <c r="AN237" s="82"/>
      <c r="AO237" s="82"/>
      <c r="AP237" s="84" t="str">
        <f t="shared" si="2"/>
        <v/>
      </c>
      <c r="AQ237" s="9"/>
      <c r="AR237" s="9"/>
      <c r="AS237" s="8"/>
      <c r="AT237" s="9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8"/>
      <c r="BX237" s="9"/>
      <c r="BY237" s="9"/>
      <c r="BZ237" s="9"/>
      <c r="CA237" s="33"/>
      <c r="CB237" s="85" t="str">
        <f t="shared" si="3"/>
        <v/>
      </c>
      <c r="CC237" s="86" t="str">
        <f t="shared" si="4"/>
        <v/>
      </c>
      <c r="CD237" s="86" t="str">
        <f t="shared" si="5"/>
        <v/>
      </c>
      <c r="CE237" s="86" t="str">
        <f t="shared" si="6"/>
        <v/>
      </c>
      <c r="CF237" s="86" t="str">
        <f t="shared" si="7"/>
        <v/>
      </c>
      <c r="CG237" s="86" t="str">
        <f t="shared" si="8"/>
        <v/>
      </c>
      <c r="CH237" s="86" t="str">
        <f t="shared" si="9"/>
        <v/>
      </c>
      <c r="CI237" s="86" t="str">
        <f t="shared" si="10"/>
        <v/>
      </c>
      <c r="CJ237" s="86" t="str">
        <f t="shared" si="11"/>
        <v/>
      </c>
      <c r="CK237" s="86" t="str">
        <f t="shared" si="12"/>
        <v/>
      </c>
      <c r="CL237" s="86" t="str">
        <f t="shared" si="13"/>
        <v/>
      </c>
      <c r="CM237" s="87" t="str">
        <f t="shared" si="14"/>
        <v/>
      </c>
      <c r="CN237" s="88" t="str">
        <f t="shared" si="26"/>
        <v/>
      </c>
      <c r="CO237" s="88" t="str">
        <f t="shared" si="15"/>
        <v/>
      </c>
      <c r="CP237" s="88" t="str">
        <f t="shared" si="16"/>
        <v/>
      </c>
      <c r="CQ237" s="88" t="str">
        <f t="shared" si="17"/>
        <v/>
      </c>
      <c r="CR237" s="88" t="str">
        <f t="shared" si="18"/>
        <v/>
      </c>
      <c r="CS237" s="88" t="str">
        <f t="shared" si="19"/>
        <v/>
      </c>
      <c r="CT237" s="88" t="str">
        <f t="shared" si="20"/>
        <v/>
      </c>
      <c r="CU237" s="88" t="str">
        <f t="shared" si="21"/>
        <v/>
      </c>
      <c r="CV237" s="88" t="str">
        <f t="shared" si="22"/>
        <v/>
      </c>
      <c r="CW237" s="88" t="str">
        <f t="shared" si="23"/>
        <v/>
      </c>
      <c r="CX237" s="7"/>
      <c r="CY237" s="7"/>
      <c r="CZ237" s="7"/>
      <c r="DA237" s="8"/>
      <c r="DU237" s="93" t="str">
        <f t="shared" si="24"/>
        <v/>
      </c>
      <c r="DV237" s="93" t="str">
        <f>ABA!$A237</f>
        <v/>
      </c>
      <c r="DW237" s="82" t="str">
        <f t="shared" si="25"/>
        <v/>
      </c>
    </row>
    <row r="238" ht="15.75" customHeight="1">
      <c r="A238" s="85"/>
      <c r="B238" s="107"/>
      <c r="C238" s="98"/>
      <c r="D238" s="98"/>
      <c r="E238" s="99"/>
      <c r="F238" s="98"/>
      <c r="G238" s="98"/>
      <c r="H238" s="98"/>
      <c r="I238" s="99"/>
      <c r="J238" s="98"/>
      <c r="K238" s="98"/>
      <c r="L238" s="98"/>
      <c r="M238" s="99"/>
      <c r="N238" s="98"/>
      <c r="O238" s="98"/>
      <c r="P238" s="98"/>
      <c r="Q238" s="99"/>
      <c r="R238" s="98"/>
      <c r="S238" s="98"/>
      <c r="T238" s="98"/>
      <c r="U238" s="99"/>
      <c r="V238" s="98"/>
      <c r="W238" s="98"/>
      <c r="X238" s="98"/>
      <c r="Y238" s="100"/>
      <c r="Z238" s="98"/>
      <c r="AA238" s="98"/>
      <c r="AB238" s="98"/>
      <c r="AC238" s="99"/>
      <c r="AD238" s="98"/>
      <c r="AE238" s="98"/>
      <c r="AF238" s="98"/>
      <c r="AG238" s="99"/>
      <c r="AH238" s="98"/>
      <c r="AI238" s="98"/>
      <c r="AJ238" s="98"/>
      <c r="AK238" s="99"/>
      <c r="AL238" s="98"/>
      <c r="AM238" s="98"/>
      <c r="AN238" s="98"/>
      <c r="AO238" s="98"/>
      <c r="AP238" s="84" t="str">
        <f t="shared" si="2"/>
        <v/>
      </c>
      <c r="AQ238" s="9"/>
      <c r="AR238" s="9"/>
      <c r="AS238" s="8"/>
      <c r="AT238" s="9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8"/>
      <c r="BX238" s="9"/>
      <c r="BY238" s="9"/>
      <c r="BZ238" s="9"/>
      <c r="CA238" s="33"/>
      <c r="CB238" s="85" t="str">
        <f t="shared" si="3"/>
        <v/>
      </c>
      <c r="CC238" s="86" t="str">
        <f t="shared" si="4"/>
        <v/>
      </c>
      <c r="CD238" s="86" t="str">
        <f t="shared" si="5"/>
        <v/>
      </c>
      <c r="CE238" s="86" t="str">
        <f t="shared" si="6"/>
        <v/>
      </c>
      <c r="CF238" s="86" t="str">
        <f t="shared" si="7"/>
        <v/>
      </c>
      <c r="CG238" s="86" t="str">
        <f t="shared" si="8"/>
        <v/>
      </c>
      <c r="CH238" s="86" t="str">
        <f t="shared" si="9"/>
        <v/>
      </c>
      <c r="CI238" s="86" t="str">
        <f t="shared" si="10"/>
        <v/>
      </c>
      <c r="CJ238" s="86" t="str">
        <f t="shared" si="11"/>
        <v/>
      </c>
      <c r="CK238" s="86" t="str">
        <f t="shared" si="12"/>
        <v/>
      </c>
      <c r="CL238" s="86" t="str">
        <f t="shared" si="13"/>
        <v/>
      </c>
      <c r="CM238" s="87" t="str">
        <f t="shared" si="14"/>
        <v/>
      </c>
      <c r="CN238" s="88" t="str">
        <f t="shared" si="26"/>
        <v/>
      </c>
      <c r="CO238" s="88" t="str">
        <f t="shared" si="15"/>
        <v/>
      </c>
      <c r="CP238" s="88" t="str">
        <f t="shared" si="16"/>
        <v/>
      </c>
      <c r="CQ238" s="88" t="str">
        <f t="shared" si="17"/>
        <v/>
      </c>
      <c r="CR238" s="88" t="str">
        <f t="shared" si="18"/>
        <v/>
      </c>
      <c r="CS238" s="88" t="str">
        <f t="shared" si="19"/>
        <v/>
      </c>
      <c r="CT238" s="88" t="str">
        <f t="shared" si="20"/>
        <v/>
      </c>
      <c r="CU238" s="88" t="str">
        <f t="shared" si="21"/>
        <v/>
      </c>
      <c r="CV238" s="88" t="str">
        <f t="shared" si="22"/>
        <v/>
      </c>
      <c r="CW238" s="88" t="str">
        <f t="shared" si="23"/>
        <v/>
      </c>
      <c r="CX238" s="7"/>
      <c r="CY238" s="7"/>
      <c r="CZ238" s="7"/>
      <c r="DA238" s="8"/>
      <c r="DU238" s="104" t="str">
        <f t="shared" si="24"/>
        <v/>
      </c>
      <c r="DV238" s="104" t="str">
        <f>ABA!$A238</f>
        <v/>
      </c>
      <c r="DW238" s="98" t="str">
        <f t="shared" si="25"/>
        <v/>
      </c>
    </row>
    <row r="239" ht="15.75" customHeight="1">
      <c r="A239" s="78"/>
      <c r="B239" s="105"/>
      <c r="C239" s="82"/>
      <c r="D239" s="82"/>
      <c r="E239" s="83"/>
      <c r="F239" s="82"/>
      <c r="G239" s="82"/>
      <c r="H239" s="82"/>
      <c r="I239" s="83"/>
      <c r="J239" s="82"/>
      <c r="K239" s="82"/>
      <c r="L239" s="82"/>
      <c r="M239" s="83"/>
      <c r="N239" s="82"/>
      <c r="O239" s="82"/>
      <c r="P239" s="82"/>
      <c r="Q239" s="83"/>
      <c r="R239" s="82"/>
      <c r="S239" s="82"/>
      <c r="T239" s="82"/>
      <c r="U239" s="83"/>
      <c r="V239" s="82"/>
      <c r="W239" s="82"/>
      <c r="X239" s="82"/>
      <c r="Y239" s="83"/>
      <c r="Z239" s="82"/>
      <c r="AA239" s="82"/>
      <c r="AB239" s="82"/>
      <c r="AC239" s="83"/>
      <c r="AD239" s="82"/>
      <c r="AE239" s="82"/>
      <c r="AF239" s="82"/>
      <c r="AG239" s="83"/>
      <c r="AH239" s="82"/>
      <c r="AI239" s="82"/>
      <c r="AJ239" s="82"/>
      <c r="AK239" s="83"/>
      <c r="AL239" s="82"/>
      <c r="AM239" s="82"/>
      <c r="AN239" s="82"/>
      <c r="AO239" s="82"/>
      <c r="AP239" s="84" t="str">
        <f t="shared" si="2"/>
        <v/>
      </c>
      <c r="AQ239" s="9"/>
      <c r="AR239" s="9"/>
      <c r="AS239" s="8"/>
      <c r="AT239" s="9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8"/>
      <c r="BX239" s="9"/>
      <c r="BY239" s="9"/>
      <c r="BZ239" s="9"/>
      <c r="CA239" s="33"/>
      <c r="CB239" s="85" t="str">
        <f t="shared" si="3"/>
        <v/>
      </c>
      <c r="CC239" s="86" t="str">
        <f t="shared" si="4"/>
        <v/>
      </c>
      <c r="CD239" s="86" t="str">
        <f t="shared" si="5"/>
        <v/>
      </c>
      <c r="CE239" s="86" t="str">
        <f t="shared" si="6"/>
        <v/>
      </c>
      <c r="CF239" s="86" t="str">
        <f t="shared" si="7"/>
        <v/>
      </c>
      <c r="CG239" s="86" t="str">
        <f t="shared" si="8"/>
        <v/>
      </c>
      <c r="CH239" s="86" t="str">
        <f t="shared" si="9"/>
        <v/>
      </c>
      <c r="CI239" s="86" t="str">
        <f t="shared" si="10"/>
        <v/>
      </c>
      <c r="CJ239" s="86" t="str">
        <f t="shared" si="11"/>
        <v/>
      </c>
      <c r="CK239" s="86" t="str">
        <f t="shared" si="12"/>
        <v/>
      </c>
      <c r="CL239" s="86" t="str">
        <f t="shared" si="13"/>
        <v/>
      </c>
      <c r="CM239" s="87" t="str">
        <f t="shared" si="14"/>
        <v/>
      </c>
      <c r="CN239" s="88" t="str">
        <f t="shared" si="26"/>
        <v/>
      </c>
      <c r="CO239" s="88" t="str">
        <f t="shared" si="15"/>
        <v/>
      </c>
      <c r="CP239" s="88" t="str">
        <f t="shared" si="16"/>
        <v/>
      </c>
      <c r="CQ239" s="88" t="str">
        <f t="shared" si="17"/>
        <v/>
      </c>
      <c r="CR239" s="88" t="str">
        <f t="shared" si="18"/>
        <v/>
      </c>
      <c r="CS239" s="88" t="str">
        <f t="shared" si="19"/>
        <v/>
      </c>
      <c r="CT239" s="88" t="str">
        <f t="shared" si="20"/>
        <v/>
      </c>
      <c r="CU239" s="88" t="str">
        <f t="shared" si="21"/>
        <v/>
      </c>
      <c r="CV239" s="88" t="str">
        <f t="shared" si="22"/>
        <v/>
      </c>
      <c r="CW239" s="88" t="str">
        <f t="shared" si="23"/>
        <v/>
      </c>
      <c r="CX239" s="7"/>
      <c r="CY239" s="7"/>
      <c r="CZ239" s="7"/>
      <c r="DA239" s="8"/>
      <c r="DU239" s="93" t="str">
        <f t="shared" si="24"/>
        <v/>
      </c>
      <c r="DV239" s="93" t="str">
        <f>ABA!$A239</f>
        <v/>
      </c>
      <c r="DW239" s="82" t="str">
        <f t="shared" si="25"/>
        <v/>
      </c>
    </row>
    <row r="240" ht="15.75" customHeight="1">
      <c r="A240" s="85"/>
      <c r="B240" s="107"/>
      <c r="C240" s="98"/>
      <c r="D240" s="98"/>
      <c r="E240" s="99"/>
      <c r="F240" s="98"/>
      <c r="G240" s="98"/>
      <c r="H240" s="98"/>
      <c r="I240" s="99"/>
      <c r="J240" s="98"/>
      <c r="K240" s="98"/>
      <c r="L240" s="98"/>
      <c r="M240" s="99"/>
      <c r="N240" s="98"/>
      <c r="O240" s="98"/>
      <c r="P240" s="98"/>
      <c r="Q240" s="99"/>
      <c r="R240" s="98"/>
      <c r="S240" s="98"/>
      <c r="T240" s="98"/>
      <c r="U240" s="99"/>
      <c r="V240" s="98"/>
      <c r="W240" s="98"/>
      <c r="X240" s="98"/>
      <c r="Y240" s="100"/>
      <c r="Z240" s="98"/>
      <c r="AA240" s="98"/>
      <c r="AB240" s="98"/>
      <c r="AC240" s="99"/>
      <c r="AD240" s="98"/>
      <c r="AE240" s="98"/>
      <c r="AF240" s="98"/>
      <c r="AG240" s="99"/>
      <c r="AH240" s="98"/>
      <c r="AI240" s="98"/>
      <c r="AJ240" s="98"/>
      <c r="AK240" s="99"/>
      <c r="AL240" s="98"/>
      <c r="AM240" s="98"/>
      <c r="AN240" s="98"/>
      <c r="AO240" s="98"/>
      <c r="AP240" s="84" t="str">
        <f t="shared" si="2"/>
        <v/>
      </c>
      <c r="AQ240" s="9"/>
      <c r="AR240" s="9"/>
      <c r="AS240" s="8"/>
      <c r="AT240" s="9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8"/>
      <c r="BX240" s="9"/>
      <c r="BY240" s="9"/>
      <c r="BZ240" s="9"/>
      <c r="CA240" s="33"/>
      <c r="CB240" s="85" t="str">
        <f t="shared" si="3"/>
        <v/>
      </c>
      <c r="CC240" s="86" t="str">
        <f t="shared" si="4"/>
        <v/>
      </c>
      <c r="CD240" s="86" t="str">
        <f t="shared" si="5"/>
        <v/>
      </c>
      <c r="CE240" s="86" t="str">
        <f t="shared" si="6"/>
        <v/>
      </c>
      <c r="CF240" s="86" t="str">
        <f t="shared" si="7"/>
        <v/>
      </c>
      <c r="CG240" s="86" t="str">
        <f t="shared" si="8"/>
        <v/>
      </c>
      <c r="CH240" s="86" t="str">
        <f t="shared" si="9"/>
        <v/>
      </c>
      <c r="CI240" s="86" t="str">
        <f t="shared" si="10"/>
        <v/>
      </c>
      <c r="CJ240" s="86" t="str">
        <f t="shared" si="11"/>
        <v/>
      </c>
      <c r="CK240" s="86" t="str">
        <f t="shared" si="12"/>
        <v/>
      </c>
      <c r="CL240" s="86" t="str">
        <f t="shared" si="13"/>
        <v/>
      </c>
      <c r="CM240" s="87" t="str">
        <f t="shared" si="14"/>
        <v/>
      </c>
      <c r="CN240" s="88" t="str">
        <f t="shared" si="26"/>
        <v/>
      </c>
      <c r="CO240" s="88" t="str">
        <f t="shared" si="15"/>
        <v/>
      </c>
      <c r="CP240" s="88" t="str">
        <f t="shared" si="16"/>
        <v/>
      </c>
      <c r="CQ240" s="88" t="str">
        <f t="shared" si="17"/>
        <v/>
      </c>
      <c r="CR240" s="88" t="str">
        <f t="shared" si="18"/>
        <v/>
      </c>
      <c r="CS240" s="88" t="str">
        <f t="shared" si="19"/>
        <v/>
      </c>
      <c r="CT240" s="88" t="str">
        <f t="shared" si="20"/>
        <v/>
      </c>
      <c r="CU240" s="88" t="str">
        <f t="shared" si="21"/>
        <v/>
      </c>
      <c r="CV240" s="88" t="str">
        <f t="shared" si="22"/>
        <v/>
      </c>
      <c r="CW240" s="88" t="str">
        <f t="shared" si="23"/>
        <v/>
      </c>
      <c r="CX240" s="7"/>
      <c r="CY240" s="7"/>
      <c r="CZ240" s="7"/>
      <c r="DA240" s="8"/>
      <c r="DU240" s="104" t="str">
        <f t="shared" si="24"/>
        <v/>
      </c>
      <c r="DV240" s="104" t="str">
        <f>ABA!$A240</f>
        <v/>
      </c>
      <c r="DW240" s="98" t="str">
        <f t="shared" si="25"/>
        <v/>
      </c>
    </row>
    <row r="241" ht="15.75" customHeight="1">
      <c r="A241" s="78"/>
      <c r="B241" s="105"/>
      <c r="C241" s="82"/>
      <c r="D241" s="82"/>
      <c r="E241" s="83"/>
      <c r="F241" s="82"/>
      <c r="G241" s="82"/>
      <c r="H241" s="82"/>
      <c r="I241" s="83"/>
      <c r="J241" s="82"/>
      <c r="K241" s="82"/>
      <c r="L241" s="82"/>
      <c r="M241" s="83"/>
      <c r="N241" s="82"/>
      <c r="O241" s="82"/>
      <c r="P241" s="82"/>
      <c r="Q241" s="83"/>
      <c r="R241" s="82"/>
      <c r="S241" s="82"/>
      <c r="T241" s="82"/>
      <c r="U241" s="83"/>
      <c r="V241" s="82"/>
      <c r="W241" s="82"/>
      <c r="X241" s="82"/>
      <c r="Y241" s="83"/>
      <c r="Z241" s="82"/>
      <c r="AA241" s="82"/>
      <c r="AB241" s="82"/>
      <c r="AC241" s="83"/>
      <c r="AD241" s="82"/>
      <c r="AE241" s="82"/>
      <c r="AF241" s="82"/>
      <c r="AG241" s="83"/>
      <c r="AH241" s="82"/>
      <c r="AI241" s="82"/>
      <c r="AJ241" s="82"/>
      <c r="AK241" s="83"/>
      <c r="AL241" s="82"/>
      <c r="AM241" s="82"/>
      <c r="AN241" s="82"/>
      <c r="AO241" s="82"/>
      <c r="AP241" s="84" t="str">
        <f t="shared" si="2"/>
        <v/>
      </c>
      <c r="AQ241" s="9"/>
      <c r="AR241" s="9"/>
      <c r="AS241" s="8"/>
      <c r="AT241" s="9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8"/>
      <c r="BX241" s="9"/>
      <c r="BY241" s="9"/>
      <c r="BZ241" s="9"/>
      <c r="CA241" s="33"/>
      <c r="CB241" s="85" t="str">
        <f t="shared" si="3"/>
        <v/>
      </c>
      <c r="CC241" s="86" t="str">
        <f t="shared" si="4"/>
        <v/>
      </c>
      <c r="CD241" s="86" t="str">
        <f t="shared" si="5"/>
        <v/>
      </c>
      <c r="CE241" s="86" t="str">
        <f t="shared" si="6"/>
        <v/>
      </c>
      <c r="CF241" s="86" t="str">
        <f t="shared" si="7"/>
        <v/>
      </c>
      <c r="CG241" s="86" t="str">
        <f t="shared" si="8"/>
        <v/>
      </c>
      <c r="CH241" s="86" t="str">
        <f t="shared" si="9"/>
        <v/>
      </c>
      <c r="CI241" s="86" t="str">
        <f t="shared" si="10"/>
        <v/>
      </c>
      <c r="CJ241" s="86" t="str">
        <f t="shared" si="11"/>
        <v/>
      </c>
      <c r="CK241" s="86" t="str">
        <f t="shared" si="12"/>
        <v/>
      </c>
      <c r="CL241" s="86" t="str">
        <f t="shared" si="13"/>
        <v/>
      </c>
      <c r="CM241" s="87" t="str">
        <f t="shared" si="14"/>
        <v/>
      </c>
      <c r="CN241" s="88" t="str">
        <f t="shared" si="26"/>
        <v/>
      </c>
      <c r="CO241" s="88" t="str">
        <f t="shared" si="15"/>
        <v/>
      </c>
      <c r="CP241" s="88" t="str">
        <f t="shared" si="16"/>
        <v/>
      </c>
      <c r="CQ241" s="88" t="str">
        <f t="shared" si="17"/>
        <v/>
      </c>
      <c r="CR241" s="88" t="str">
        <f t="shared" si="18"/>
        <v/>
      </c>
      <c r="CS241" s="88" t="str">
        <f t="shared" si="19"/>
        <v/>
      </c>
      <c r="CT241" s="88" t="str">
        <f t="shared" si="20"/>
        <v/>
      </c>
      <c r="CU241" s="88" t="str">
        <f t="shared" si="21"/>
        <v/>
      </c>
      <c r="CV241" s="88" t="str">
        <f t="shared" si="22"/>
        <v/>
      </c>
      <c r="CW241" s="88" t="str">
        <f t="shared" si="23"/>
        <v/>
      </c>
      <c r="CX241" s="7"/>
      <c r="CY241" s="7"/>
      <c r="CZ241" s="7"/>
      <c r="DA241" s="8"/>
      <c r="DU241" s="93" t="str">
        <f t="shared" si="24"/>
        <v/>
      </c>
      <c r="DV241" s="93" t="str">
        <f>ABA!$A241</f>
        <v/>
      </c>
      <c r="DW241" s="82" t="str">
        <f t="shared" si="25"/>
        <v/>
      </c>
    </row>
    <row r="242" ht="15.75" customHeight="1">
      <c r="A242" s="85"/>
      <c r="B242" s="107"/>
      <c r="C242" s="98"/>
      <c r="D242" s="98"/>
      <c r="E242" s="99"/>
      <c r="F242" s="98"/>
      <c r="G242" s="98"/>
      <c r="H242" s="98"/>
      <c r="I242" s="99"/>
      <c r="J242" s="98"/>
      <c r="K242" s="98"/>
      <c r="L242" s="98"/>
      <c r="M242" s="99"/>
      <c r="N242" s="98"/>
      <c r="O242" s="98"/>
      <c r="P242" s="98"/>
      <c r="Q242" s="99"/>
      <c r="R242" s="98"/>
      <c r="S242" s="98"/>
      <c r="T242" s="98"/>
      <c r="U242" s="99"/>
      <c r="V242" s="98"/>
      <c r="W242" s="98"/>
      <c r="X242" s="98"/>
      <c r="Y242" s="100"/>
      <c r="Z242" s="98"/>
      <c r="AA242" s="98"/>
      <c r="AB242" s="98"/>
      <c r="AC242" s="99"/>
      <c r="AD242" s="98"/>
      <c r="AE242" s="98"/>
      <c r="AF242" s="98"/>
      <c r="AG242" s="99"/>
      <c r="AH242" s="98"/>
      <c r="AI242" s="98"/>
      <c r="AJ242" s="98"/>
      <c r="AK242" s="99"/>
      <c r="AL242" s="98"/>
      <c r="AM242" s="98"/>
      <c r="AN242" s="98"/>
      <c r="AO242" s="98"/>
      <c r="AP242" s="84" t="str">
        <f t="shared" si="2"/>
        <v/>
      </c>
      <c r="AQ242" s="9"/>
      <c r="AR242" s="9"/>
      <c r="AS242" s="8"/>
      <c r="AT242" s="9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8"/>
      <c r="BX242" s="9"/>
      <c r="BY242" s="9"/>
      <c r="BZ242" s="9"/>
      <c r="CA242" s="33"/>
      <c r="CB242" s="85" t="str">
        <f t="shared" si="3"/>
        <v/>
      </c>
      <c r="CC242" s="86" t="str">
        <f t="shared" si="4"/>
        <v/>
      </c>
      <c r="CD242" s="86" t="str">
        <f t="shared" si="5"/>
        <v/>
      </c>
      <c r="CE242" s="86" t="str">
        <f t="shared" si="6"/>
        <v/>
      </c>
      <c r="CF242" s="86" t="str">
        <f t="shared" si="7"/>
        <v/>
      </c>
      <c r="CG242" s="86" t="str">
        <f t="shared" si="8"/>
        <v/>
      </c>
      <c r="CH242" s="86" t="str">
        <f t="shared" si="9"/>
        <v/>
      </c>
      <c r="CI242" s="86" t="str">
        <f t="shared" si="10"/>
        <v/>
      </c>
      <c r="CJ242" s="86" t="str">
        <f t="shared" si="11"/>
        <v/>
      </c>
      <c r="CK242" s="86" t="str">
        <f t="shared" si="12"/>
        <v/>
      </c>
      <c r="CL242" s="86" t="str">
        <f t="shared" si="13"/>
        <v/>
      </c>
      <c r="CM242" s="87" t="str">
        <f t="shared" si="14"/>
        <v/>
      </c>
      <c r="CN242" s="88" t="str">
        <f t="shared" si="26"/>
        <v/>
      </c>
      <c r="CO242" s="88" t="str">
        <f t="shared" si="15"/>
        <v/>
      </c>
      <c r="CP242" s="88" t="str">
        <f t="shared" si="16"/>
        <v/>
      </c>
      <c r="CQ242" s="88" t="str">
        <f t="shared" si="17"/>
        <v/>
      </c>
      <c r="CR242" s="88" t="str">
        <f t="shared" si="18"/>
        <v/>
      </c>
      <c r="CS242" s="88" t="str">
        <f t="shared" si="19"/>
        <v/>
      </c>
      <c r="CT242" s="88" t="str">
        <f t="shared" si="20"/>
        <v/>
      </c>
      <c r="CU242" s="88" t="str">
        <f t="shared" si="21"/>
        <v/>
      </c>
      <c r="CV242" s="88" t="str">
        <f t="shared" si="22"/>
        <v/>
      </c>
      <c r="CW242" s="88" t="str">
        <f t="shared" si="23"/>
        <v/>
      </c>
      <c r="CX242" s="7"/>
      <c r="CY242" s="7"/>
      <c r="CZ242" s="7"/>
      <c r="DA242" s="8"/>
      <c r="DU242" s="104" t="str">
        <f t="shared" si="24"/>
        <v/>
      </c>
      <c r="DV242" s="104" t="str">
        <f>ABA!$A242</f>
        <v/>
      </c>
      <c r="DW242" s="98" t="str">
        <f t="shared" si="25"/>
        <v/>
      </c>
    </row>
    <row r="243" ht="15.75" customHeight="1">
      <c r="A243" s="78"/>
      <c r="B243" s="105"/>
      <c r="C243" s="82"/>
      <c r="D243" s="82"/>
      <c r="E243" s="83"/>
      <c r="F243" s="82"/>
      <c r="G243" s="82"/>
      <c r="H243" s="82"/>
      <c r="I243" s="83"/>
      <c r="J243" s="82"/>
      <c r="K243" s="82"/>
      <c r="L243" s="82"/>
      <c r="M243" s="83"/>
      <c r="N243" s="82"/>
      <c r="O243" s="82"/>
      <c r="P243" s="82"/>
      <c r="Q243" s="83"/>
      <c r="R243" s="82"/>
      <c r="S243" s="82"/>
      <c r="T243" s="82"/>
      <c r="U243" s="83"/>
      <c r="V243" s="82"/>
      <c r="W243" s="82"/>
      <c r="X243" s="82"/>
      <c r="Y243" s="83"/>
      <c r="Z243" s="82"/>
      <c r="AA243" s="82"/>
      <c r="AB243" s="82"/>
      <c r="AC243" s="83"/>
      <c r="AD243" s="82"/>
      <c r="AE243" s="82"/>
      <c r="AF243" s="82"/>
      <c r="AG243" s="83"/>
      <c r="AH243" s="82"/>
      <c r="AI243" s="82"/>
      <c r="AJ243" s="82"/>
      <c r="AK243" s="83"/>
      <c r="AL243" s="82"/>
      <c r="AM243" s="82"/>
      <c r="AN243" s="82"/>
      <c r="AO243" s="82"/>
      <c r="AP243" s="84" t="str">
        <f t="shared" si="2"/>
        <v/>
      </c>
      <c r="AQ243" s="9"/>
      <c r="AR243" s="9"/>
      <c r="AS243" s="8"/>
      <c r="AT243" s="9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8"/>
      <c r="BX243" s="9"/>
      <c r="BY243" s="9"/>
      <c r="BZ243" s="9"/>
      <c r="CA243" s="33"/>
      <c r="CB243" s="85" t="str">
        <f t="shared" si="3"/>
        <v/>
      </c>
      <c r="CC243" s="86" t="str">
        <f t="shared" si="4"/>
        <v/>
      </c>
      <c r="CD243" s="86" t="str">
        <f t="shared" si="5"/>
        <v/>
      </c>
      <c r="CE243" s="86" t="str">
        <f t="shared" si="6"/>
        <v/>
      </c>
      <c r="CF243" s="86" t="str">
        <f t="shared" si="7"/>
        <v/>
      </c>
      <c r="CG243" s="86" t="str">
        <f t="shared" si="8"/>
        <v/>
      </c>
      <c r="CH243" s="86" t="str">
        <f t="shared" si="9"/>
        <v/>
      </c>
      <c r="CI243" s="86" t="str">
        <f t="shared" si="10"/>
        <v/>
      </c>
      <c r="CJ243" s="86" t="str">
        <f t="shared" si="11"/>
        <v/>
      </c>
      <c r="CK243" s="86" t="str">
        <f t="shared" si="12"/>
        <v/>
      </c>
      <c r="CL243" s="86" t="str">
        <f t="shared" si="13"/>
        <v/>
      </c>
      <c r="CM243" s="87" t="str">
        <f t="shared" si="14"/>
        <v/>
      </c>
      <c r="CN243" s="88" t="str">
        <f t="shared" si="26"/>
        <v/>
      </c>
      <c r="CO243" s="88" t="str">
        <f t="shared" si="15"/>
        <v/>
      </c>
      <c r="CP243" s="88" t="str">
        <f t="shared" si="16"/>
        <v/>
      </c>
      <c r="CQ243" s="88" t="str">
        <f t="shared" si="17"/>
        <v/>
      </c>
      <c r="CR243" s="88" t="str">
        <f t="shared" si="18"/>
        <v/>
      </c>
      <c r="CS243" s="88" t="str">
        <f t="shared" si="19"/>
        <v/>
      </c>
      <c r="CT243" s="88" t="str">
        <f t="shared" si="20"/>
        <v/>
      </c>
      <c r="CU243" s="88" t="str">
        <f t="shared" si="21"/>
        <v/>
      </c>
      <c r="CV243" s="88" t="str">
        <f t="shared" si="22"/>
        <v/>
      </c>
      <c r="CW243" s="88" t="str">
        <f t="shared" si="23"/>
        <v/>
      </c>
      <c r="CX243" s="7"/>
      <c r="CY243" s="7"/>
      <c r="CZ243" s="7"/>
      <c r="DA243" s="8"/>
      <c r="DU243" s="93" t="str">
        <f t="shared" si="24"/>
        <v/>
      </c>
      <c r="DV243" s="93" t="str">
        <f>ABA!$A243</f>
        <v/>
      </c>
      <c r="DW243" s="82" t="str">
        <f t="shared" si="25"/>
        <v/>
      </c>
    </row>
    <row r="244" ht="15.75" customHeight="1">
      <c r="A244" s="85"/>
      <c r="B244" s="107"/>
      <c r="C244" s="98"/>
      <c r="D244" s="98"/>
      <c r="E244" s="99"/>
      <c r="F244" s="98"/>
      <c r="G244" s="98"/>
      <c r="H244" s="98"/>
      <c r="I244" s="99"/>
      <c r="J244" s="98"/>
      <c r="K244" s="98"/>
      <c r="L244" s="98"/>
      <c r="M244" s="99"/>
      <c r="N244" s="98"/>
      <c r="O244" s="98"/>
      <c r="P244" s="98"/>
      <c r="Q244" s="99"/>
      <c r="R244" s="98"/>
      <c r="S244" s="98"/>
      <c r="T244" s="98"/>
      <c r="U244" s="99"/>
      <c r="V244" s="98"/>
      <c r="W244" s="98"/>
      <c r="X244" s="98"/>
      <c r="Y244" s="100"/>
      <c r="Z244" s="98"/>
      <c r="AA244" s="98"/>
      <c r="AB244" s="98"/>
      <c r="AC244" s="99"/>
      <c r="AD244" s="98"/>
      <c r="AE244" s="98"/>
      <c r="AF244" s="98"/>
      <c r="AG244" s="99"/>
      <c r="AH244" s="98"/>
      <c r="AI244" s="98"/>
      <c r="AJ244" s="98"/>
      <c r="AK244" s="99"/>
      <c r="AL244" s="98"/>
      <c r="AM244" s="98"/>
      <c r="AN244" s="98"/>
      <c r="AO244" s="98"/>
      <c r="AP244" s="84" t="str">
        <f t="shared" si="2"/>
        <v/>
      </c>
      <c r="AQ244" s="9"/>
      <c r="AR244" s="9"/>
      <c r="AS244" s="8"/>
      <c r="AT244" s="9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8"/>
      <c r="BX244" s="9"/>
      <c r="BY244" s="9"/>
      <c r="BZ244" s="9"/>
      <c r="CA244" s="33"/>
      <c r="CB244" s="85" t="str">
        <f t="shared" si="3"/>
        <v/>
      </c>
      <c r="CC244" s="86" t="str">
        <f t="shared" si="4"/>
        <v/>
      </c>
      <c r="CD244" s="86" t="str">
        <f t="shared" si="5"/>
        <v/>
      </c>
      <c r="CE244" s="86" t="str">
        <f t="shared" si="6"/>
        <v/>
      </c>
      <c r="CF244" s="86" t="str">
        <f t="shared" si="7"/>
        <v/>
      </c>
      <c r="CG244" s="86" t="str">
        <f t="shared" si="8"/>
        <v/>
      </c>
      <c r="CH244" s="86" t="str">
        <f t="shared" si="9"/>
        <v/>
      </c>
      <c r="CI244" s="86" t="str">
        <f t="shared" si="10"/>
        <v/>
      </c>
      <c r="CJ244" s="86" t="str">
        <f t="shared" si="11"/>
        <v/>
      </c>
      <c r="CK244" s="86" t="str">
        <f t="shared" si="12"/>
        <v/>
      </c>
      <c r="CL244" s="86" t="str">
        <f t="shared" si="13"/>
        <v/>
      </c>
      <c r="CM244" s="87" t="str">
        <f t="shared" si="14"/>
        <v/>
      </c>
      <c r="CN244" s="88" t="str">
        <f t="shared" si="26"/>
        <v/>
      </c>
      <c r="CO244" s="88" t="str">
        <f t="shared" si="15"/>
        <v/>
      </c>
      <c r="CP244" s="88" t="str">
        <f t="shared" si="16"/>
        <v/>
      </c>
      <c r="CQ244" s="88" t="str">
        <f t="shared" si="17"/>
        <v/>
      </c>
      <c r="CR244" s="88" t="str">
        <f t="shared" si="18"/>
        <v/>
      </c>
      <c r="CS244" s="88" t="str">
        <f t="shared" si="19"/>
        <v/>
      </c>
      <c r="CT244" s="88" t="str">
        <f t="shared" si="20"/>
        <v/>
      </c>
      <c r="CU244" s="88" t="str">
        <f t="shared" si="21"/>
        <v/>
      </c>
      <c r="CV244" s="88" t="str">
        <f t="shared" si="22"/>
        <v/>
      </c>
      <c r="CW244" s="88" t="str">
        <f t="shared" si="23"/>
        <v/>
      </c>
      <c r="CX244" s="7"/>
      <c r="CY244" s="7"/>
      <c r="CZ244" s="7"/>
      <c r="DA244" s="8"/>
      <c r="DU244" s="104" t="str">
        <f t="shared" si="24"/>
        <v/>
      </c>
      <c r="DV244" s="104" t="str">
        <f>ABA!$A244</f>
        <v/>
      </c>
      <c r="DW244" s="98" t="str">
        <f t="shared" si="25"/>
        <v/>
      </c>
    </row>
    <row r="245" ht="15.75" customHeight="1">
      <c r="A245" s="78"/>
      <c r="B245" s="105"/>
      <c r="C245" s="82"/>
      <c r="D245" s="82"/>
      <c r="E245" s="83"/>
      <c r="F245" s="82"/>
      <c r="G245" s="82"/>
      <c r="H245" s="82"/>
      <c r="I245" s="83"/>
      <c r="J245" s="82"/>
      <c r="K245" s="82"/>
      <c r="L245" s="82"/>
      <c r="M245" s="83"/>
      <c r="N245" s="82"/>
      <c r="O245" s="82"/>
      <c r="P245" s="82"/>
      <c r="Q245" s="83"/>
      <c r="R245" s="82"/>
      <c r="S245" s="82"/>
      <c r="T245" s="82"/>
      <c r="U245" s="83"/>
      <c r="V245" s="82"/>
      <c r="W245" s="82"/>
      <c r="X245" s="82"/>
      <c r="Y245" s="83"/>
      <c r="Z245" s="82"/>
      <c r="AA245" s="82"/>
      <c r="AB245" s="82"/>
      <c r="AC245" s="83"/>
      <c r="AD245" s="82"/>
      <c r="AE245" s="82"/>
      <c r="AF245" s="82"/>
      <c r="AG245" s="83"/>
      <c r="AH245" s="82"/>
      <c r="AI245" s="82"/>
      <c r="AJ245" s="82"/>
      <c r="AK245" s="83"/>
      <c r="AL245" s="82"/>
      <c r="AM245" s="82"/>
      <c r="AN245" s="82"/>
      <c r="AO245" s="82"/>
      <c r="AP245" s="84" t="str">
        <f t="shared" si="2"/>
        <v/>
      </c>
      <c r="AQ245" s="9"/>
      <c r="AR245" s="9"/>
      <c r="AS245" s="8"/>
      <c r="AT245" s="9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8"/>
      <c r="BX245" s="9"/>
      <c r="BY245" s="9"/>
      <c r="BZ245" s="9"/>
      <c r="CA245" s="33"/>
      <c r="CB245" s="85" t="str">
        <f t="shared" si="3"/>
        <v/>
      </c>
      <c r="CC245" s="86" t="str">
        <f t="shared" si="4"/>
        <v/>
      </c>
      <c r="CD245" s="86" t="str">
        <f t="shared" si="5"/>
        <v/>
      </c>
      <c r="CE245" s="86" t="str">
        <f t="shared" si="6"/>
        <v/>
      </c>
      <c r="CF245" s="86" t="str">
        <f t="shared" si="7"/>
        <v/>
      </c>
      <c r="CG245" s="86" t="str">
        <f t="shared" si="8"/>
        <v/>
      </c>
      <c r="CH245" s="86" t="str">
        <f t="shared" si="9"/>
        <v/>
      </c>
      <c r="CI245" s="86" t="str">
        <f t="shared" si="10"/>
        <v/>
      </c>
      <c r="CJ245" s="86" t="str">
        <f t="shared" si="11"/>
        <v/>
      </c>
      <c r="CK245" s="86" t="str">
        <f t="shared" si="12"/>
        <v/>
      </c>
      <c r="CL245" s="86" t="str">
        <f t="shared" si="13"/>
        <v/>
      </c>
      <c r="CM245" s="87" t="str">
        <f t="shared" si="14"/>
        <v/>
      </c>
      <c r="CN245" s="88" t="str">
        <f t="shared" si="26"/>
        <v/>
      </c>
      <c r="CO245" s="88" t="str">
        <f t="shared" si="15"/>
        <v/>
      </c>
      <c r="CP245" s="88" t="str">
        <f t="shared" si="16"/>
        <v/>
      </c>
      <c r="CQ245" s="88" t="str">
        <f t="shared" si="17"/>
        <v/>
      </c>
      <c r="CR245" s="88" t="str">
        <f t="shared" si="18"/>
        <v/>
      </c>
      <c r="CS245" s="88" t="str">
        <f t="shared" si="19"/>
        <v/>
      </c>
      <c r="CT245" s="88" t="str">
        <f t="shared" si="20"/>
        <v/>
      </c>
      <c r="CU245" s="88" t="str">
        <f t="shared" si="21"/>
        <v/>
      </c>
      <c r="CV245" s="88" t="str">
        <f t="shared" si="22"/>
        <v/>
      </c>
      <c r="CW245" s="88" t="str">
        <f t="shared" si="23"/>
        <v/>
      </c>
      <c r="CX245" s="7"/>
      <c r="CY245" s="7"/>
      <c r="CZ245" s="7"/>
      <c r="DA245" s="8"/>
      <c r="DU245" s="93" t="str">
        <f t="shared" si="24"/>
        <v/>
      </c>
      <c r="DV245" s="93" t="str">
        <f>ABA!$A245</f>
        <v/>
      </c>
      <c r="DW245" s="82" t="str">
        <f t="shared" si="25"/>
        <v/>
      </c>
    </row>
    <row r="246" ht="15.75" customHeight="1">
      <c r="A246" s="85"/>
      <c r="B246" s="107"/>
      <c r="C246" s="98"/>
      <c r="D246" s="98"/>
      <c r="E246" s="99"/>
      <c r="F246" s="98"/>
      <c r="G246" s="98"/>
      <c r="H246" s="98"/>
      <c r="I246" s="99"/>
      <c r="J246" s="98"/>
      <c r="K246" s="98"/>
      <c r="L246" s="98"/>
      <c r="M246" s="99"/>
      <c r="N246" s="98"/>
      <c r="O246" s="98"/>
      <c r="P246" s="98"/>
      <c r="Q246" s="99"/>
      <c r="R246" s="98"/>
      <c r="S246" s="98"/>
      <c r="T246" s="98"/>
      <c r="U246" s="99"/>
      <c r="V246" s="98"/>
      <c r="W246" s="98"/>
      <c r="X246" s="98"/>
      <c r="Y246" s="100"/>
      <c r="Z246" s="98"/>
      <c r="AA246" s="98"/>
      <c r="AB246" s="98"/>
      <c r="AC246" s="99"/>
      <c r="AD246" s="98"/>
      <c r="AE246" s="98"/>
      <c r="AF246" s="98"/>
      <c r="AG246" s="99"/>
      <c r="AH246" s="98"/>
      <c r="AI246" s="98"/>
      <c r="AJ246" s="98"/>
      <c r="AK246" s="99"/>
      <c r="AL246" s="98"/>
      <c r="AM246" s="98"/>
      <c r="AN246" s="98"/>
      <c r="AO246" s="98"/>
      <c r="AP246" s="84" t="str">
        <f t="shared" si="2"/>
        <v/>
      </c>
      <c r="AQ246" s="9"/>
      <c r="AR246" s="9"/>
      <c r="AS246" s="8"/>
      <c r="AT246" s="9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8"/>
      <c r="BX246" s="9"/>
      <c r="BY246" s="9"/>
      <c r="BZ246" s="9"/>
      <c r="CA246" s="33"/>
      <c r="CB246" s="85" t="str">
        <f t="shared" si="3"/>
        <v/>
      </c>
      <c r="CC246" s="86" t="str">
        <f t="shared" si="4"/>
        <v/>
      </c>
      <c r="CD246" s="86" t="str">
        <f t="shared" si="5"/>
        <v/>
      </c>
      <c r="CE246" s="86" t="str">
        <f t="shared" si="6"/>
        <v/>
      </c>
      <c r="CF246" s="86" t="str">
        <f t="shared" si="7"/>
        <v/>
      </c>
      <c r="CG246" s="86" t="str">
        <f t="shared" si="8"/>
        <v/>
      </c>
      <c r="CH246" s="86" t="str">
        <f t="shared" si="9"/>
        <v/>
      </c>
      <c r="CI246" s="86" t="str">
        <f t="shared" si="10"/>
        <v/>
      </c>
      <c r="CJ246" s="86" t="str">
        <f t="shared" si="11"/>
        <v/>
      </c>
      <c r="CK246" s="86" t="str">
        <f t="shared" si="12"/>
        <v/>
      </c>
      <c r="CL246" s="86" t="str">
        <f t="shared" si="13"/>
        <v/>
      </c>
      <c r="CM246" s="87" t="str">
        <f t="shared" si="14"/>
        <v/>
      </c>
      <c r="CN246" s="88" t="str">
        <f t="shared" si="26"/>
        <v/>
      </c>
      <c r="CO246" s="88" t="str">
        <f t="shared" si="15"/>
        <v/>
      </c>
      <c r="CP246" s="88" t="str">
        <f t="shared" si="16"/>
        <v/>
      </c>
      <c r="CQ246" s="88" t="str">
        <f t="shared" si="17"/>
        <v/>
      </c>
      <c r="CR246" s="88" t="str">
        <f t="shared" si="18"/>
        <v/>
      </c>
      <c r="CS246" s="88" t="str">
        <f t="shared" si="19"/>
        <v/>
      </c>
      <c r="CT246" s="88" t="str">
        <f t="shared" si="20"/>
        <v/>
      </c>
      <c r="CU246" s="88" t="str">
        <f t="shared" si="21"/>
        <v/>
      </c>
      <c r="CV246" s="88" t="str">
        <f t="shared" si="22"/>
        <v/>
      </c>
      <c r="CW246" s="88" t="str">
        <f t="shared" si="23"/>
        <v/>
      </c>
      <c r="CX246" s="7"/>
      <c r="CY246" s="7"/>
      <c r="CZ246" s="7"/>
      <c r="DA246" s="8"/>
      <c r="DU246" s="104" t="str">
        <f t="shared" si="24"/>
        <v/>
      </c>
      <c r="DV246" s="104" t="str">
        <f>ABA!$A246</f>
        <v/>
      </c>
      <c r="DW246" s="98" t="str">
        <f t="shared" si="25"/>
        <v/>
      </c>
    </row>
    <row r="247" ht="15.75" customHeight="1">
      <c r="A247" s="78"/>
      <c r="B247" s="105"/>
      <c r="C247" s="82"/>
      <c r="D247" s="82"/>
      <c r="E247" s="83"/>
      <c r="F247" s="82"/>
      <c r="G247" s="82"/>
      <c r="H247" s="82"/>
      <c r="I247" s="83"/>
      <c r="J247" s="82"/>
      <c r="K247" s="82"/>
      <c r="L247" s="82"/>
      <c r="M247" s="83"/>
      <c r="N247" s="82"/>
      <c r="O247" s="82"/>
      <c r="P247" s="82"/>
      <c r="Q247" s="83"/>
      <c r="R247" s="82"/>
      <c r="S247" s="82"/>
      <c r="T247" s="82"/>
      <c r="U247" s="83"/>
      <c r="V247" s="82"/>
      <c r="W247" s="82"/>
      <c r="X247" s="82"/>
      <c r="Y247" s="83"/>
      <c r="Z247" s="82"/>
      <c r="AA247" s="82"/>
      <c r="AB247" s="82"/>
      <c r="AC247" s="83"/>
      <c r="AD247" s="82"/>
      <c r="AE247" s="82"/>
      <c r="AF247" s="82"/>
      <c r="AG247" s="83"/>
      <c r="AH247" s="82"/>
      <c r="AI247" s="82"/>
      <c r="AJ247" s="82"/>
      <c r="AK247" s="83"/>
      <c r="AL247" s="82"/>
      <c r="AM247" s="82"/>
      <c r="AN247" s="82"/>
      <c r="AO247" s="82"/>
      <c r="AP247" s="84" t="str">
        <f t="shared" si="2"/>
        <v/>
      </c>
      <c r="AQ247" s="9"/>
      <c r="AR247" s="9"/>
      <c r="AS247" s="8"/>
      <c r="AT247" s="9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8"/>
      <c r="BX247" s="9"/>
      <c r="BY247" s="9"/>
      <c r="BZ247" s="9"/>
      <c r="CA247" s="33"/>
      <c r="CB247" s="85" t="str">
        <f t="shared" si="3"/>
        <v/>
      </c>
      <c r="CC247" s="86" t="str">
        <f t="shared" si="4"/>
        <v/>
      </c>
      <c r="CD247" s="86" t="str">
        <f t="shared" si="5"/>
        <v/>
      </c>
      <c r="CE247" s="86" t="str">
        <f t="shared" si="6"/>
        <v/>
      </c>
      <c r="CF247" s="86" t="str">
        <f t="shared" si="7"/>
        <v/>
      </c>
      <c r="CG247" s="86" t="str">
        <f t="shared" si="8"/>
        <v/>
      </c>
      <c r="CH247" s="86" t="str">
        <f t="shared" si="9"/>
        <v/>
      </c>
      <c r="CI247" s="86" t="str">
        <f t="shared" si="10"/>
        <v/>
      </c>
      <c r="CJ247" s="86" t="str">
        <f t="shared" si="11"/>
        <v/>
      </c>
      <c r="CK247" s="86" t="str">
        <f t="shared" si="12"/>
        <v/>
      </c>
      <c r="CL247" s="86" t="str">
        <f t="shared" si="13"/>
        <v/>
      </c>
      <c r="CM247" s="87" t="str">
        <f t="shared" si="14"/>
        <v/>
      </c>
      <c r="CN247" s="88" t="str">
        <f t="shared" si="26"/>
        <v/>
      </c>
      <c r="CO247" s="88" t="str">
        <f t="shared" si="15"/>
        <v/>
      </c>
      <c r="CP247" s="88" t="str">
        <f t="shared" si="16"/>
        <v/>
      </c>
      <c r="CQ247" s="88" t="str">
        <f t="shared" si="17"/>
        <v/>
      </c>
      <c r="CR247" s="88" t="str">
        <f t="shared" si="18"/>
        <v/>
      </c>
      <c r="CS247" s="88" t="str">
        <f t="shared" si="19"/>
        <v/>
      </c>
      <c r="CT247" s="88" t="str">
        <f t="shared" si="20"/>
        <v/>
      </c>
      <c r="CU247" s="88" t="str">
        <f t="shared" si="21"/>
        <v/>
      </c>
      <c r="CV247" s="88" t="str">
        <f t="shared" si="22"/>
        <v/>
      </c>
      <c r="CW247" s="88" t="str">
        <f t="shared" si="23"/>
        <v/>
      </c>
      <c r="CX247" s="7"/>
      <c r="CY247" s="7"/>
      <c r="CZ247" s="7"/>
      <c r="DA247" s="8"/>
      <c r="DU247" s="93" t="str">
        <f t="shared" si="24"/>
        <v/>
      </c>
      <c r="DV247" s="93" t="str">
        <f>ABA!$A247</f>
        <v/>
      </c>
      <c r="DW247" s="82" t="str">
        <f t="shared" si="25"/>
        <v/>
      </c>
    </row>
    <row r="248" ht="15.75" customHeight="1">
      <c r="A248" s="85"/>
      <c r="B248" s="107"/>
      <c r="C248" s="98"/>
      <c r="D248" s="98"/>
      <c r="E248" s="99"/>
      <c r="F248" s="98"/>
      <c r="G248" s="98"/>
      <c r="H248" s="98"/>
      <c r="I248" s="99"/>
      <c r="J248" s="98"/>
      <c r="K248" s="98"/>
      <c r="L248" s="98"/>
      <c r="M248" s="99"/>
      <c r="N248" s="98"/>
      <c r="O248" s="98"/>
      <c r="P248" s="98"/>
      <c r="Q248" s="99"/>
      <c r="R248" s="98"/>
      <c r="S248" s="98"/>
      <c r="T248" s="98"/>
      <c r="U248" s="99"/>
      <c r="V248" s="98"/>
      <c r="W248" s="98"/>
      <c r="X248" s="98"/>
      <c r="Y248" s="100"/>
      <c r="Z248" s="98"/>
      <c r="AA248" s="98"/>
      <c r="AB248" s="98"/>
      <c r="AC248" s="99"/>
      <c r="AD248" s="98"/>
      <c r="AE248" s="98"/>
      <c r="AF248" s="98"/>
      <c r="AG248" s="99"/>
      <c r="AH248" s="98"/>
      <c r="AI248" s="98"/>
      <c r="AJ248" s="98"/>
      <c r="AK248" s="99"/>
      <c r="AL248" s="98"/>
      <c r="AM248" s="98"/>
      <c r="AN248" s="98"/>
      <c r="AO248" s="98"/>
      <c r="AP248" s="84" t="str">
        <f t="shared" si="2"/>
        <v/>
      </c>
      <c r="AQ248" s="9"/>
      <c r="AR248" s="9"/>
      <c r="AS248" s="8"/>
      <c r="AT248" s="9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8"/>
      <c r="BX248" s="9"/>
      <c r="BY248" s="9"/>
      <c r="BZ248" s="9"/>
      <c r="CA248" s="33"/>
      <c r="CB248" s="85" t="str">
        <f t="shared" si="3"/>
        <v/>
      </c>
      <c r="CC248" s="86" t="str">
        <f t="shared" si="4"/>
        <v/>
      </c>
      <c r="CD248" s="86" t="str">
        <f t="shared" si="5"/>
        <v/>
      </c>
      <c r="CE248" s="86" t="str">
        <f t="shared" si="6"/>
        <v/>
      </c>
      <c r="CF248" s="86" t="str">
        <f t="shared" si="7"/>
        <v/>
      </c>
      <c r="CG248" s="86" t="str">
        <f t="shared" si="8"/>
        <v/>
      </c>
      <c r="CH248" s="86" t="str">
        <f t="shared" si="9"/>
        <v/>
      </c>
      <c r="CI248" s="86" t="str">
        <f t="shared" si="10"/>
        <v/>
      </c>
      <c r="CJ248" s="86" t="str">
        <f t="shared" si="11"/>
        <v/>
      </c>
      <c r="CK248" s="86" t="str">
        <f t="shared" si="12"/>
        <v/>
      </c>
      <c r="CL248" s="86" t="str">
        <f t="shared" si="13"/>
        <v/>
      </c>
      <c r="CM248" s="87" t="str">
        <f t="shared" si="14"/>
        <v/>
      </c>
      <c r="CN248" s="88" t="str">
        <f t="shared" si="26"/>
        <v/>
      </c>
      <c r="CO248" s="88" t="str">
        <f t="shared" si="15"/>
        <v/>
      </c>
      <c r="CP248" s="88" t="str">
        <f t="shared" si="16"/>
        <v/>
      </c>
      <c r="CQ248" s="88" t="str">
        <f t="shared" si="17"/>
        <v/>
      </c>
      <c r="CR248" s="88" t="str">
        <f t="shared" si="18"/>
        <v/>
      </c>
      <c r="CS248" s="88" t="str">
        <f t="shared" si="19"/>
        <v/>
      </c>
      <c r="CT248" s="88" t="str">
        <f t="shared" si="20"/>
        <v/>
      </c>
      <c r="CU248" s="88" t="str">
        <f t="shared" si="21"/>
        <v/>
      </c>
      <c r="CV248" s="88" t="str">
        <f t="shared" si="22"/>
        <v/>
      </c>
      <c r="CW248" s="88" t="str">
        <f t="shared" si="23"/>
        <v/>
      </c>
      <c r="CX248" s="7"/>
      <c r="CY248" s="7"/>
      <c r="CZ248" s="7"/>
      <c r="DA248" s="8"/>
      <c r="DU248" s="104" t="str">
        <f t="shared" si="24"/>
        <v/>
      </c>
      <c r="DV248" s="104" t="str">
        <f>ABA!$A248</f>
        <v/>
      </c>
      <c r="DW248" s="98" t="str">
        <f t="shared" si="25"/>
        <v/>
      </c>
    </row>
    <row r="249" ht="15.75" customHeight="1">
      <c r="A249" s="78"/>
      <c r="B249" s="105"/>
      <c r="C249" s="82"/>
      <c r="D249" s="82"/>
      <c r="E249" s="83"/>
      <c r="F249" s="82"/>
      <c r="G249" s="82"/>
      <c r="H249" s="82"/>
      <c r="I249" s="83"/>
      <c r="J249" s="82"/>
      <c r="K249" s="82"/>
      <c r="L249" s="82"/>
      <c r="M249" s="83"/>
      <c r="N249" s="82"/>
      <c r="O249" s="82"/>
      <c r="P249" s="82"/>
      <c r="Q249" s="83"/>
      <c r="R249" s="82"/>
      <c r="S249" s="82"/>
      <c r="T249" s="82"/>
      <c r="U249" s="83"/>
      <c r="V249" s="82"/>
      <c r="W249" s="82"/>
      <c r="X249" s="82"/>
      <c r="Y249" s="83"/>
      <c r="Z249" s="82"/>
      <c r="AA249" s="82"/>
      <c r="AB249" s="82"/>
      <c r="AC249" s="83"/>
      <c r="AD249" s="82"/>
      <c r="AE249" s="82"/>
      <c r="AF249" s="82"/>
      <c r="AG249" s="83"/>
      <c r="AH249" s="82"/>
      <c r="AI249" s="82"/>
      <c r="AJ249" s="82"/>
      <c r="AK249" s="83"/>
      <c r="AL249" s="82"/>
      <c r="AM249" s="82"/>
      <c r="AN249" s="82"/>
      <c r="AO249" s="82"/>
      <c r="AP249" s="84" t="str">
        <f t="shared" si="2"/>
        <v/>
      </c>
      <c r="AQ249" s="9"/>
      <c r="AR249" s="9"/>
      <c r="AS249" s="8"/>
      <c r="AT249" s="9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8"/>
      <c r="BX249" s="9"/>
      <c r="BY249" s="9"/>
      <c r="BZ249" s="9"/>
      <c r="CA249" s="33"/>
      <c r="CB249" s="85" t="str">
        <f t="shared" si="3"/>
        <v/>
      </c>
      <c r="CC249" s="86" t="str">
        <f t="shared" si="4"/>
        <v/>
      </c>
      <c r="CD249" s="86" t="str">
        <f t="shared" si="5"/>
        <v/>
      </c>
      <c r="CE249" s="86" t="str">
        <f t="shared" si="6"/>
        <v/>
      </c>
      <c r="CF249" s="86" t="str">
        <f t="shared" si="7"/>
        <v/>
      </c>
      <c r="CG249" s="86" t="str">
        <f t="shared" si="8"/>
        <v/>
      </c>
      <c r="CH249" s="86" t="str">
        <f t="shared" si="9"/>
        <v/>
      </c>
      <c r="CI249" s="86" t="str">
        <f t="shared" si="10"/>
        <v/>
      </c>
      <c r="CJ249" s="86" t="str">
        <f t="shared" si="11"/>
        <v/>
      </c>
      <c r="CK249" s="86" t="str">
        <f t="shared" si="12"/>
        <v/>
      </c>
      <c r="CL249" s="86" t="str">
        <f t="shared" si="13"/>
        <v/>
      </c>
      <c r="CM249" s="87" t="str">
        <f t="shared" si="14"/>
        <v/>
      </c>
      <c r="CN249" s="88" t="str">
        <f t="shared" si="26"/>
        <v/>
      </c>
      <c r="CO249" s="88" t="str">
        <f t="shared" si="15"/>
        <v/>
      </c>
      <c r="CP249" s="88" t="str">
        <f t="shared" si="16"/>
        <v/>
      </c>
      <c r="CQ249" s="88" t="str">
        <f t="shared" si="17"/>
        <v/>
      </c>
      <c r="CR249" s="88" t="str">
        <f t="shared" si="18"/>
        <v/>
      </c>
      <c r="CS249" s="88" t="str">
        <f t="shared" si="19"/>
        <v/>
      </c>
      <c r="CT249" s="88" t="str">
        <f t="shared" si="20"/>
        <v/>
      </c>
      <c r="CU249" s="88" t="str">
        <f t="shared" si="21"/>
        <v/>
      </c>
      <c r="CV249" s="88" t="str">
        <f t="shared" si="22"/>
        <v/>
      </c>
      <c r="CW249" s="88" t="str">
        <f t="shared" si="23"/>
        <v/>
      </c>
      <c r="CX249" s="7"/>
      <c r="CY249" s="7"/>
      <c r="CZ249" s="7"/>
      <c r="DA249" s="8"/>
      <c r="DU249" s="93" t="str">
        <f t="shared" si="24"/>
        <v/>
      </c>
      <c r="DV249" s="93" t="str">
        <f>ABA!$A249</f>
        <v/>
      </c>
      <c r="DW249" s="82" t="str">
        <f t="shared" si="25"/>
        <v/>
      </c>
    </row>
    <row r="250" ht="15.75" customHeight="1">
      <c r="A250" s="85"/>
      <c r="B250" s="107"/>
      <c r="C250" s="98"/>
      <c r="D250" s="98"/>
      <c r="E250" s="99"/>
      <c r="F250" s="98"/>
      <c r="G250" s="98"/>
      <c r="H250" s="98"/>
      <c r="I250" s="99"/>
      <c r="J250" s="98"/>
      <c r="K250" s="98"/>
      <c r="L250" s="98"/>
      <c r="M250" s="99"/>
      <c r="N250" s="98"/>
      <c r="O250" s="98"/>
      <c r="P250" s="98"/>
      <c r="Q250" s="99"/>
      <c r="R250" s="98"/>
      <c r="S250" s="98"/>
      <c r="T250" s="98"/>
      <c r="U250" s="99"/>
      <c r="V250" s="98"/>
      <c r="W250" s="98"/>
      <c r="X250" s="98"/>
      <c r="Y250" s="100"/>
      <c r="Z250" s="98"/>
      <c r="AA250" s="98"/>
      <c r="AB250" s="98"/>
      <c r="AC250" s="99"/>
      <c r="AD250" s="98"/>
      <c r="AE250" s="98"/>
      <c r="AF250" s="98"/>
      <c r="AG250" s="99"/>
      <c r="AH250" s="98"/>
      <c r="AI250" s="98"/>
      <c r="AJ250" s="98"/>
      <c r="AK250" s="99"/>
      <c r="AL250" s="98"/>
      <c r="AM250" s="98"/>
      <c r="AN250" s="98"/>
      <c r="AO250" s="98"/>
      <c r="AP250" s="84" t="str">
        <f t="shared" si="2"/>
        <v/>
      </c>
      <c r="AQ250" s="9"/>
      <c r="AR250" s="9"/>
      <c r="AS250" s="8"/>
      <c r="AT250" s="9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8"/>
      <c r="BX250" s="9"/>
      <c r="BY250" s="9"/>
      <c r="BZ250" s="9"/>
      <c r="CA250" s="33"/>
      <c r="CB250" s="85" t="str">
        <f t="shared" si="3"/>
        <v/>
      </c>
      <c r="CC250" s="86" t="str">
        <f t="shared" si="4"/>
        <v/>
      </c>
      <c r="CD250" s="86" t="str">
        <f t="shared" si="5"/>
        <v/>
      </c>
      <c r="CE250" s="86" t="str">
        <f t="shared" si="6"/>
        <v/>
      </c>
      <c r="CF250" s="86" t="str">
        <f t="shared" si="7"/>
        <v/>
      </c>
      <c r="CG250" s="86" t="str">
        <f t="shared" si="8"/>
        <v/>
      </c>
      <c r="CH250" s="86" t="str">
        <f t="shared" si="9"/>
        <v/>
      </c>
      <c r="CI250" s="86" t="str">
        <f t="shared" si="10"/>
        <v/>
      </c>
      <c r="CJ250" s="86" t="str">
        <f t="shared" si="11"/>
        <v/>
      </c>
      <c r="CK250" s="86" t="str">
        <f t="shared" si="12"/>
        <v/>
      </c>
      <c r="CL250" s="86" t="str">
        <f t="shared" si="13"/>
        <v/>
      </c>
      <c r="CM250" s="87" t="str">
        <f t="shared" si="14"/>
        <v/>
      </c>
      <c r="CN250" s="88" t="str">
        <f t="shared" si="26"/>
        <v/>
      </c>
      <c r="CO250" s="88" t="str">
        <f t="shared" si="15"/>
        <v/>
      </c>
      <c r="CP250" s="88" t="str">
        <f t="shared" si="16"/>
        <v/>
      </c>
      <c r="CQ250" s="88" t="str">
        <f t="shared" si="17"/>
        <v/>
      </c>
      <c r="CR250" s="88" t="str">
        <f t="shared" si="18"/>
        <v/>
      </c>
      <c r="CS250" s="88" t="str">
        <f t="shared" si="19"/>
        <v/>
      </c>
      <c r="CT250" s="88" t="str">
        <f t="shared" si="20"/>
        <v/>
      </c>
      <c r="CU250" s="88" t="str">
        <f t="shared" si="21"/>
        <v/>
      </c>
      <c r="CV250" s="88" t="str">
        <f t="shared" si="22"/>
        <v/>
      </c>
      <c r="CW250" s="88" t="str">
        <f t="shared" si="23"/>
        <v/>
      </c>
      <c r="CX250" s="7"/>
      <c r="CY250" s="7"/>
      <c r="CZ250" s="7"/>
      <c r="DA250" s="8"/>
      <c r="DU250" s="104" t="str">
        <f t="shared" si="24"/>
        <v/>
      </c>
      <c r="DV250" s="104" t="str">
        <f>ABA!$A250</f>
        <v/>
      </c>
      <c r="DW250" s="98" t="str">
        <f t="shared" si="25"/>
        <v/>
      </c>
    </row>
    <row r="251" ht="15.75" customHeight="1">
      <c r="A251" s="78"/>
      <c r="B251" s="105"/>
      <c r="C251" s="82"/>
      <c r="D251" s="82"/>
      <c r="E251" s="83"/>
      <c r="F251" s="82"/>
      <c r="G251" s="82"/>
      <c r="H251" s="82"/>
      <c r="I251" s="83"/>
      <c r="J251" s="82"/>
      <c r="K251" s="82"/>
      <c r="L251" s="82"/>
      <c r="M251" s="83"/>
      <c r="N251" s="82"/>
      <c r="O251" s="82"/>
      <c r="P251" s="82"/>
      <c r="Q251" s="83"/>
      <c r="R251" s="82"/>
      <c r="S251" s="82"/>
      <c r="T251" s="82"/>
      <c r="U251" s="83"/>
      <c r="V251" s="82"/>
      <c r="W251" s="82"/>
      <c r="X251" s="82"/>
      <c r="Y251" s="83"/>
      <c r="Z251" s="82"/>
      <c r="AA251" s="82"/>
      <c r="AB251" s="82"/>
      <c r="AC251" s="83"/>
      <c r="AD251" s="82"/>
      <c r="AE251" s="82"/>
      <c r="AF251" s="82"/>
      <c r="AG251" s="83"/>
      <c r="AH251" s="82"/>
      <c r="AI251" s="82"/>
      <c r="AJ251" s="82"/>
      <c r="AK251" s="83"/>
      <c r="AL251" s="82"/>
      <c r="AM251" s="82"/>
      <c r="AN251" s="82"/>
      <c r="AO251" s="82"/>
      <c r="AP251" s="84" t="str">
        <f t="shared" si="2"/>
        <v/>
      </c>
      <c r="AQ251" s="9"/>
      <c r="AR251" s="9"/>
      <c r="AS251" s="8"/>
      <c r="AT251" s="9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8"/>
      <c r="BX251" s="9"/>
      <c r="BY251" s="9"/>
      <c r="BZ251" s="9"/>
      <c r="CA251" s="33"/>
      <c r="CB251" s="85" t="str">
        <f t="shared" si="3"/>
        <v/>
      </c>
      <c r="CC251" s="86" t="str">
        <f t="shared" si="4"/>
        <v/>
      </c>
      <c r="CD251" s="86" t="str">
        <f t="shared" si="5"/>
        <v/>
      </c>
      <c r="CE251" s="86" t="str">
        <f t="shared" si="6"/>
        <v/>
      </c>
      <c r="CF251" s="86" t="str">
        <f t="shared" si="7"/>
        <v/>
      </c>
      <c r="CG251" s="86" t="str">
        <f t="shared" si="8"/>
        <v/>
      </c>
      <c r="CH251" s="86" t="str">
        <f t="shared" si="9"/>
        <v/>
      </c>
      <c r="CI251" s="86" t="str">
        <f t="shared" si="10"/>
        <v/>
      </c>
      <c r="CJ251" s="86" t="str">
        <f t="shared" si="11"/>
        <v/>
      </c>
      <c r="CK251" s="86" t="str">
        <f t="shared" si="12"/>
        <v/>
      </c>
      <c r="CL251" s="86" t="str">
        <f t="shared" si="13"/>
        <v/>
      </c>
      <c r="CM251" s="87" t="str">
        <f t="shared" si="14"/>
        <v/>
      </c>
      <c r="CN251" s="88" t="str">
        <f t="shared" si="26"/>
        <v/>
      </c>
      <c r="CO251" s="88" t="str">
        <f t="shared" si="15"/>
        <v/>
      </c>
      <c r="CP251" s="88" t="str">
        <f t="shared" si="16"/>
        <v/>
      </c>
      <c r="CQ251" s="88" t="str">
        <f t="shared" si="17"/>
        <v/>
      </c>
      <c r="CR251" s="88" t="str">
        <f t="shared" si="18"/>
        <v/>
      </c>
      <c r="CS251" s="88" t="str">
        <f t="shared" si="19"/>
        <v/>
      </c>
      <c r="CT251" s="88" t="str">
        <f t="shared" si="20"/>
        <v/>
      </c>
      <c r="CU251" s="88" t="str">
        <f t="shared" si="21"/>
        <v/>
      </c>
      <c r="CV251" s="88" t="str">
        <f t="shared" si="22"/>
        <v/>
      </c>
      <c r="CW251" s="88" t="str">
        <f t="shared" si="23"/>
        <v/>
      </c>
      <c r="CX251" s="7"/>
      <c r="CY251" s="7"/>
      <c r="CZ251" s="7"/>
      <c r="DA251" s="8"/>
      <c r="DU251" s="93" t="str">
        <f t="shared" si="24"/>
        <v/>
      </c>
      <c r="DV251" s="93" t="str">
        <f>ABA!$A251</f>
        <v/>
      </c>
      <c r="DW251" s="82" t="str">
        <f t="shared" si="25"/>
        <v/>
      </c>
    </row>
    <row r="252" ht="15.75" customHeight="1">
      <c r="A252" s="85"/>
      <c r="B252" s="107"/>
      <c r="C252" s="98"/>
      <c r="D252" s="98"/>
      <c r="E252" s="99"/>
      <c r="F252" s="98"/>
      <c r="G252" s="98"/>
      <c r="H252" s="98"/>
      <c r="I252" s="99"/>
      <c r="J252" s="98"/>
      <c r="K252" s="98"/>
      <c r="L252" s="98"/>
      <c r="M252" s="99"/>
      <c r="N252" s="98"/>
      <c r="O252" s="98"/>
      <c r="P252" s="98"/>
      <c r="Q252" s="99"/>
      <c r="R252" s="98"/>
      <c r="S252" s="98"/>
      <c r="T252" s="98"/>
      <c r="U252" s="99"/>
      <c r="V252" s="98"/>
      <c r="W252" s="98"/>
      <c r="X252" s="98"/>
      <c r="Y252" s="100"/>
      <c r="Z252" s="98"/>
      <c r="AA252" s="98"/>
      <c r="AB252" s="98"/>
      <c r="AC252" s="99"/>
      <c r="AD252" s="98"/>
      <c r="AE252" s="98"/>
      <c r="AF252" s="98"/>
      <c r="AG252" s="99"/>
      <c r="AH252" s="98"/>
      <c r="AI252" s="98"/>
      <c r="AJ252" s="98"/>
      <c r="AK252" s="99"/>
      <c r="AL252" s="98"/>
      <c r="AM252" s="98"/>
      <c r="AN252" s="98"/>
      <c r="AO252" s="98"/>
      <c r="AP252" s="84" t="str">
        <f t="shared" si="2"/>
        <v/>
      </c>
      <c r="AQ252" s="9"/>
      <c r="AR252" s="9"/>
      <c r="AS252" s="8"/>
      <c r="AT252" s="9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8"/>
      <c r="BX252" s="9"/>
      <c r="BY252" s="9"/>
      <c r="BZ252" s="9"/>
      <c r="CA252" s="33"/>
      <c r="CB252" s="85" t="str">
        <f t="shared" si="3"/>
        <v/>
      </c>
      <c r="CC252" s="86" t="str">
        <f t="shared" si="4"/>
        <v/>
      </c>
      <c r="CD252" s="86" t="str">
        <f t="shared" si="5"/>
        <v/>
      </c>
      <c r="CE252" s="86" t="str">
        <f t="shared" si="6"/>
        <v/>
      </c>
      <c r="CF252" s="86" t="str">
        <f t="shared" si="7"/>
        <v/>
      </c>
      <c r="CG252" s="86" t="str">
        <f t="shared" si="8"/>
        <v/>
      </c>
      <c r="CH252" s="86" t="str">
        <f t="shared" si="9"/>
        <v/>
      </c>
      <c r="CI252" s="86" t="str">
        <f t="shared" si="10"/>
        <v/>
      </c>
      <c r="CJ252" s="86" t="str">
        <f t="shared" si="11"/>
        <v/>
      </c>
      <c r="CK252" s="86" t="str">
        <f t="shared" si="12"/>
        <v/>
      </c>
      <c r="CL252" s="86" t="str">
        <f t="shared" si="13"/>
        <v/>
      </c>
      <c r="CM252" s="87" t="str">
        <f t="shared" si="14"/>
        <v/>
      </c>
      <c r="CN252" s="88" t="str">
        <f t="shared" si="26"/>
        <v/>
      </c>
      <c r="CO252" s="88" t="str">
        <f t="shared" si="15"/>
        <v/>
      </c>
      <c r="CP252" s="88" t="str">
        <f t="shared" si="16"/>
        <v/>
      </c>
      <c r="CQ252" s="88" t="str">
        <f t="shared" si="17"/>
        <v/>
      </c>
      <c r="CR252" s="88" t="str">
        <f t="shared" si="18"/>
        <v/>
      </c>
      <c r="CS252" s="88" t="str">
        <f t="shared" si="19"/>
        <v/>
      </c>
      <c r="CT252" s="88" t="str">
        <f t="shared" si="20"/>
        <v/>
      </c>
      <c r="CU252" s="88" t="str">
        <f t="shared" si="21"/>
        <v/>
      </c>
      <c r="CV252" s="88" t="str">
        <f t="shared" si="22"/>
        <v/>
      </c>
      <c r="CW252" s="88" t="str">
        <f t="shared" si="23"/>
        <v/>
      </c>
      <c r="CX252" s="7"/>
      <c r="CY252" s="7"/>
      <c r="CZ252" s="7"/>
      <c r="DA252" s="8"/>
      <c r="DU252" s="104" t="str">
        <f t="shared" si="24"/>
        <v/>
      </c>
      <c r="DV252" s="104" t="str">
        <f>ABA!$A252</f>
        <v/>
      </c>
      <c r="DW252" s="98" t="str">
        <f t="shared" si="25"/>
        <v/>
      </c>
    </row>
    <row r="253" ht="15.75" customHeight="1">
      <c r="A253" s="78"/>
      <c r="B253" s="105"/>
      <c r="C253" s="82"/>
      <c r="D253" s="82"/>
      <c r="E253" s="83"/>
      <c r="F253" s="82"/>
      <c r="G253" s="82"/>
      <c r="H253" s="82"/>
      <c r="I253" s="83"/>
      <c r="J253" s="82"/>
      <c r="K253" s="82"/>
      <c r="L253" s="82"/>
      <c r="M253" s="83"/>
      <c r="N253" s="82"/>
      <c r="O253" s="82"/>
      <c r="P253" s="82"/>
      <c r="Q253" s="83"/>
      <c r="R253" s="82"/>
      <c r="S253" s="82"/>
      <c r="T253" s="82"/>
      <c r="U253" s="83"/>
      <c r="V253" s="82"/>
      <c r="W253" s="82"/>
      <c r="X253" s="82"/>
      <c r="Y253" s="83"/>
      <c r="Z253" s="82"/>
      <c r="AA253" s="82"/>
      <c r="AB253" s="82"/>
      <c r="AC253" s="83"/>
      <c r="AD253" s="82"/>
      <c r="AE253" s="82"/>
      <c r="AF253" s="82"/>
      <c r="AG253" s="83"/>
      <c r="AH253" s="82"/>
      <c r="AI253" s="82"/>
      <c r="AJ253" s="82"/>
      <c r="AK253" s="83"/>
      <c r="AL253" s="82"/>
      <c r="AM253" s="82"/>
      <c r="AN253" s="82"/>
      <c r="AO253" s="82"/>
      <c r="AP253" s="84" t="str">
        <f t="shared" si="2"/>
        <v/>
      </c>
      <c r="AQ253" s="9"/>
      <c r="AR253" s="9"/>
      <c r="AS253" s="8"/>
      <c r="AT253" s="9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8"/>
      <c r="BX253" s="9"/>
      <c r="BY253" s="9"/>
      <c r="BZ253" s="9"/>
      <c r="CA253" s="33"/>
      <c r="CB253" s="85" t="str">
        <f t="shared" si="3"/>
        <v/>
      </c>
      <c r="CC253" s="86" t="str">
        <f t="shared" si="4"/>
        <v/>
      </c>
      <c r="CD253" s="86" t="str">
        <f t="shared" si="5"/>
        <v/>
      </c>
      <c r="CE253" s="86" t="str">
        <f t="shared" si="6"/>
        <v/>
      </c>
      <c r="CF253" s="86" t="str">
        <f t="shared" si="7"/>
        <v/>
      </c>
      <c r="CG253" s="86" t="str">
        <f t="shared" si="8"/>
        <v/>
      </c>
      <c r="CH253" s="86" t="str">
        <f t="shared" si="9"/>
        <v/>
      </c>
      <c r="CI253" s="86" t="str">
        <f t="shared" si="10"/>
        <v/>
      </c>
      <c r="CJ253" s="86" t="str">
        <f t="shared" si="11"/>
        <v/>
      </c>
      <c r="CK253" s="86" t="str">
        <f t="shared" si="12"/>
        <v/>
      </c>
      <c r="CL253" s="86" t="str">
        <f t="shared" si="13"/>
        <v/>
      </c>
      <c r="CM253" s="87" t="str">
        <f t="shared" si="14"/>
        <v/>
      </c>
      <c r="CN253" s="88" t="str">
        <f t="shared" si="26"/>
        <v/>
      </c>
      <c r="CO253" s="88" t="str">
        <f t="shared" si="15"/>
        <v/>
      </c>
      <c r="CP253" s="88" t="str">
        <f t="shared" si="16"/>
        <v/>
      </c>
      <c r="CQ253" s="88" t="str">
        <f t="shared" si="17"/>
        <v/>
      </c>
      <c r="CR253" s="88" t="str">
        <f t="shared" si="18"/>
        <v/>
      </c>
      <c r="CS253" s="88" t="str">
        <f t="shared" si="19"/>
        <v/>
      </c>
      <c r="CT253" s="88" t="str">
        <f t="shared" si="20"/>
        <v/>
      </c>
      <c r="CU253" s="88" t="str">
        <f t="shared" si="21"/>
        <v/>
      </c>
      <c r="CV253" s="88" t="str">
        <f t="shared" si="22"/>
        <v/>
      </c>
      <c r="CW253" s="88" t="str">
        <f t="shared" si="23"/>
        <v/>
      </c>
      <c r="CX253" s="7"/>
      <c r="CY253" s="7"/>
      <c r="CZ253" s="7"/>
      <c r="DA253" s="8"/>
      <c r="DU253" s="93" t="str">
        <f t="shared" si="24"/>
        <v/>
      </c>
      <c r="DV253" s="93" t="str">
        <f>ABA!$A253</f>
        <v/>
      </c>
      <c r="DW253" s="82" t="str">
        <f t="shared" si="25"/>
        <v/>
      </c>
    </row>
    <row r="254" ht="15.75" customHeight="1">
      <c r="A254" s="85"/>
      <c r="B254" s="107"/>
      <c r="C254" s="98"/>
      <c r="D254" s="98"/>
      <c r="E254" s="99"/>
      <c r="F254" s="98"/>
      <c r="G254" s="98"/>
      <c r="H254" s="98"/>
      <c r="I254" s="99"/>
      <c r="J254" s="98"/>
      <c r="K254" s="98"/>
      <c r="L254" s="98"/>
      <c r="M254" s="99"/>
      <c r="N254" s="98"/>
      <c r="O254" s="98"/>
      <c r="P254" s="98"/>
      <c r="Q254" s="99"/>
      <c r="R254" s="98"/>
      <c r="S254" s="98"/>
      <c r="T254" s="98"/>
      <c r="U254" s="99"/>
      <c r="V254" s="98"/>
      <c r="W254" s="98"/>
      <c r="X254" s="98"/>
      <c r="Y254" s="100"/>
      <c r="Z254" s="98"/>
      <c r="AA254" s="98"/>
      <c r="AB254" s="98"/>
      <c r="AC254" s="99"/>
      <c r="AD254" s="98"/>
      <c r="AE254" s="98"/>
      <c r="AF254" s="98"/>
      <c r="AG254" s="99"/>
      <c r="AH254" s="98"/>
      <c r="AI254" s="98"/>
      <c r="AJ254" s="98"/>
      <c r="AK254" s="99"/>
      <c r="AL254" s="98"/>
      <c r="AM254" s="98"/>
      <c r="AN254" s="98"/>
      <c r="AO254" s="98"/>
      <c r="AP254" s="84" t="str">
        <f t="shared" si="2"/>
        <v/>
      </c>
      <c r="AQ254" s="9"/>
      <c r="AR254" s="9"/>
      <c r="AS254" s="8"/>
      <c r="AT254" s="9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8"/>
      <c r="BX254" s="9"/>
      <c r="BY254" s="9"/>
      <c r="BZ254" s="9"/>
      <c r="CA254" s="33"/>
      <c r="CB254" s="85" t="str">
        <f t="shared" si="3"/>
        <v/>
      </c>
      <c r="CC254" s="86" t="str">
        <f t="shared" si="4"/>
        <v/>
      </c>
      <c r="CD254" s="86" t="str">
        <f t="shared" si="5"/>
        <v/>
      </c>
      <c r="CE254" s="86" t="str">
        <f t="shared" si="6"/>
        <v/>
      </c>
      <c r="CF254" s="86" t="str">
        <f t="shared" si="7"/>
        <v/>
      </c>
      <c r="CG254" s="86" t="str">
        <f t="shared" si="8"/>
        <v/>
      </c>
      <c r="CH254" s="86" t="str">
        <f t="shared" si="9"/>
        <v/>
      </c>
      <c r="CI254" s="86" t="str">
        <f t="shared" si="10"/>
        <v/>
      </c>
      <c r="CJ254" s="86" t="str">
        <f t="shared" si="11"/>
        <v/>
      </c>
      <c r="CK254" s="86" t="str">
        <f t="shared" si="12"/>
        <v/>
      </c>
      <c r="CL254" s="86" t="str">
        <f t="shared" si="13"/>
        <v/>
      </c>
      <c r="CM254" s="87" t="str">
        <f t="shared" si="14"/>
        <v/>
      </c>
      <c r="CN254" s="88" t="str">
        <f t="shared" si="26"/>
        <v/>
      </c>
      <c r="CO254" s="88" t="str">
        <f t="shared" si="15"/>
        <v/>
      </c>
      <c r="CP254" s="88" t="str">
        <f t="shared" si="16"/>
        <v/>
      </c>
      <c r="CQ254" s="88" t="str">
        <f t="shared" si="17"/>
        <v/>
      </c>
      <c r="CR254" s="88" t="str">
        <f t="shared" si="18"/>
        <v/>
      </c>
      <c r="CS254" s="88" t="str">
        <f t="shared" si="19"/>
        <v/>
      </c>
      <c r="CT254" s="88" t="str">
        <f t="shared" si="20"/>
        <v/>
      </c>
      <c r="CU254" s="88" t="str">
        <f t="shared" si="21"/>
        <v/>
      </c>
      <c r="CV254" s="88" t="str">
        <f t="shared" si="22"/>
        <v/>
      </c>
      <c r="CW254" s="88" t="str">
        <f t="shared" si="23"/>
        <v/>
      </c>
      <c r="CX254" s="7"/>
      <c r="CY254" s="7"/>
      <c r="CZ254" s="7"/>
      <c r="DA254" s="8"/>
      <c r="DU254" s="104" t="str">
        <f t="shared" si="24"/>
        <v/>
      </c>
      <c r="DV254" s="104" t="str">
        <f>ABA!$A254</f>
        <v/>
      </c>
      <c r="DW254" s="98" t="str">
        <f t="shared" si="25"/>
        <v/>
      </c>
    </row>
    <row r="255" ht="15.75" customHeight="1">
      <c r="A255" s="78"/>
      <c r="B255" s="105"/>
      <c r="C255" s="82"/>
      <c r="D255" s="82"/>
      <c r="E255" s="83"/>
      <c r="F255" s="82"/>
      <c r="G255" s="82"/>
      <c r="H255" s="82"/>
      <c r="I255" s="83"/>
      <c r="J255" s="82"/>
      <c r="K255" s="82"/>
      <c r="L255" s="82"/>
      <c r="M255" s="83"/>
      <c r="N255" s="82"/>
      <c r="O255" s="82"/>
      <c r="P255" s="82"/>
      <c r="Q255" s="83"/>
      <c r="R255" s="82"/>
      <c r="S255" s="82"/>
      <c r="T255" s="82"/>
      <c r="U255" s="83"/>
      <c r="V255" s="82"/>
      <c r="W255" s="82"/>
      <c r="X255" s="82"/>
      <c r="Y255" s="83"/>
      <c r="Z255" s="82"/>
      <c r="AA255" s="82"/>
      <c r="AB255" s="82"/>
      <c r="AC255" s="83"/>
      <c r="AD255" s="82"/>
      <c r="AE255" s="82"/>
      <c r="AF255" s="82"/>
      <c r="AG255" s="83"/>
      <c r="AH255" s="82"/>
      <c r="AI255" s="82"/>
      <c r="AJ255" s="82"/>
      <c r="AK255" s="83"/>
      <c r="AL255" s="82"/>
      <c r="AM255" s="82"/>
      <c r="AN255" s="82"/>
      <c r="AO255" s="82"/>
      <c r="AP255" s="84" t="str">
        <f t="shared" si="2"/>
        <v/>
      </c>
      <c r="AQ255" s="9"/>
      <c r="AR255" s="9"/>
      <c r="AS255" s="8"/>
      <c r="AT255" s="9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8"/>
      <c r="BX255" s="9"/>
      <c r="BY255" s="9"/>
      <c r="BZ255" s="9"/>
      <c r="CA255" s="33"/>
      <c r="CB255" s="85" t="str">
        <f t="shared" si="3"/>
        <v/>
      </c>
      <c r="CC255" s="86" t="str">
        <f t="shared" si="4"/>
        <v/>
      </c>
      <c r="CD255" s="86" t="str">
        <f t="shared" si="5"/>
        <v/>
      </c>
      <c r="CE255" s="86" t="str">
        <f t="shared" si="6"/>
        <v/>
      </c>
      <c r="CF255" s="86" t="str">
        <f t="shared" si="7"/>
        <v/>
      </c>
      <c r="CG255" s="86" t="str">
        <f t="shared" si="8"/>
        <v/>
      </c>
      <c r="CH255" s="86" t="str">
        <f t="shared" si="9"/>
        <v/>
      </c>
      <c r="CI255" s="86" t="str">
        <f t="shared" si="10"/>
        <v/>
      </c>
      <c r="CJ255" s="86" t="str">
        <f t="shared" si="11"/>
        <v/>
      </c>
      <c r="CK255" s="86" t="str">
        <f t="shared" si="12"/>
        <v/>
      </c>
      <c r="CL255" s="86" t="str">
        <f t="shared" si="13"/>
        <v/>
      </c>
      <c r="CM255" s="87" t="str">
        <f t="shared" si="14"/>
        <v/>
      </c>
      <c r="CN255" s="88" t="str">
        <f t="shared" si="26"/>
        <v/>
      </c>
      <c r="CO255" s="88" t="str">
        <f t="shared" si="15"/>
        <v/>
      </c>
      <c r="CP255" s="88" t="str">
        <f t="shared" si="16"/>
        <v/>
      </c>
      <c r="CQ255" s="88" t="str">
        <f t="shared" si="17"/>
        <v/>
      </c>
      <c r="CR255" s="88" t="str">
        <f t="shared" si="18"/>
        <v/>
      </c>
      <c r="CS255" s="88" t="str">
        <f t="shared" si="19"/>
        <v/>
      </c>
      <c r="CT255" s="88" t="str">
        <f t="shared" si="20"/>
        <v/>
      </c>
      <c r="CU255" s="88" t="str">
        <f t="shared" si="21"/>
        <v/>
      </c>
      <c r="CV255" s="88" t="str">
        <f t="shared" si="22"/>
        <v/>
      </c>
      <c r="CW255" s="88" t="str">
        <f t="shared" si="23"/>
        <v/>
      </c>
      <c r="CX255" s="7"/>
      <c r="CY255" s="7"/>
      <c r="CZ255" s="7"/>
      <c r="DA255" s="8"/>
      <c r="DU255" s="93" t="str">
        <f t="shared" si="24"/>
        <v/>
      </c>
      <c r="DV255" s="93" t="str">
        <f>ABA!$A255</f>
        <v/>
      </c>
      <c r="DW255" s="82" t="str">
        <f t="shared" si="25"/>
        <v/>
      </c>
    </row>
    <row r="256" ht="15.75" customHeight="1">
      <c r="A256" s="85"/>
      <c r="B256" s="107"/>
      <c r="C256" s="98"/>
      <c r="D256" s="98"/>
      <c r="E256" s="99"/>
      <c r="F256" s="98"/>
      <c r="G256" s="98"/>
      <c r="H256" s="98"/>
      <c r="I256" s="99"/>
      <c r="J256" s="98"/>
      <c r="K256" s="98"/>
      <c r="L256" s="98"/>
      <c r="M256" s="99"/>
      <c r="N256" s="98"/>
      <c r="O256" s="98"/>
      <c r="P256" s="98"/>
      <c r="Q256" s="99"/>
      <c r="R256" s="98"/>
      <c r="S256" s="98"/>
      <c r="T256" s="98"/>
      <c r="U256" s="99"/>
      <c r="V256" s="98"/>
      <c r="W256" s="98"/>
      <c r="X256" s="98"/>
      <c r="Y256" s="100"/>
      <c r="Z256" s="98"/>
      <c r="AA256" s="98"/>
      <c r="AB256" s="98"/>
      <c r="AC256" s="99"/>
      <c r="AD256" s="98"/>
      <c r="AE256" s="98"/>
      <c r="AF256" s="98"/>
      <c r="AG256" s="99"/>
      <c r="AH256" s="98"/>
      <c r="AI256" s="98"/>
      <c r="AJ256" s="98"/>
      <c r="AK256" s="99"/>
      <c r="AL256" s="98"/>
      <c r="AM256" s="98"/>
      <c r="AN256" s="98"/>
      <c r="AO256" s="98"/>
      <c r="AP256" s="84" t="str">
        <f t="shared" si="2"/>
        <v/>
      </c>
      <c r="AQ256" s="9"/>
      <c r="AR256" s="9"/>
      <c r="AS256" s="8"/>
      <c r="AT256" s="9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8"/>
      <c r="BX256" s="9"/>
      <c r="BY256" s="9"/>
      <c r="BZ256" s="9"/>
      <c r="CA256" s="33"/>
      <c r="CB256" s="85" t="str">
        <f t="shared" si="3"/>
        <v/>
      </c>
      <c r="CC256" s="86" t="str">
        <f t="shared" si="4"/>
        <v/>
      </c>
      <c r="CD256" s="86" t="str">
        <f t="shared" si="5"/>
        <v/>
      </c>
      <c r="CE256" s="86" t="str">
        <f t="shared" si="6"/>
        <v/>
      </c>
      <c r="CF256" s="86" t="str">
        <f t="shared" si="7"/>
        <v/>
      </c>
      <c r="CG256" s="86" t="str">
        <f t="shared" si="8"/>
        <v/>
      </c>
      <c r="CH256" s="86" t="str">
        <f t="shared" si="9"/>
        <v/>
      </c>
      <c r="CI256" s="86" t="str">
        <f t="shared" si="10"/>
        <v/>
      </c>
      <c r="CJ256" s="86" t="str">
        <f t="shared" si="11"/>
        <v/>
      </c>
      <c r="CK256" s="86" t="str">
        <f t="shared" si="12"/>
        <v/>
      </c>
      <c r="CL256" s="86" t="str">
        <f t="shared" si="13"/>
        <v/>
      </c>
      <c r="CM256" s="87" t="str">
        <f t="shared" si="14"/>
        <v/>
      </c>
      <c r="CN256" s="88" t="str">
        <f t="shared" si="26"/>
        <v/>
      </c>
      <c r="CO256" s="88" t="str">
        <f t="shared" si="15"/>
        <v/>
      </c>
      <c r="CP256" s="88" t="str">
        <f t="shared" si="16"/>
        <v/>
      </c>
      <c r="CQ256" s="88" t="str">
        <f t="shared" si="17"/>
        <v/>
      </c>
      <c r="CR256" s="88" t="str">
        <f t="shared" si="18"/>
        <v/>
      </c>
      <c r="CS256" s="88" t="str">
        <f t="shared" si="19"/>
        <v/>
      </c>
      <c r="CT256" s="88" t="str">
        <f t="shared" si="20"/>
        <v/>
      </c>
      <c r="CU256" s="88" t="str">
        <f t="shared" si="21"/>
        <v/>
      </c>
      <c r="CV256" s="88" t="str">
        <f t="shared" si="22"/>
        <v/>
      </c>
      <c r="CW256" s="88" t="str">
        <f t="shared" si="23"/>
        <v/>
      </c>
      <c r="CX256" s="7"/>
      <c r="CY256" s="7"/>
      <c r="CZ256" s="7"/>
      <c r="DA256" s="8"/>
      <c r="DU256" s="93" t="str">
        <f t="shared" si="24"/>
        <v/>
      </c>
      <c r="DV256" s="104" t="str">
        <f>ABA!$A256</f>
        <v/>
      </c>
      <c r="DW256" s="98" t="str">
        <f t="shared" si="25"/>
        <v/>
      </c>
    </row>
    <row r="257" ht="15.75" customHeight="1">
      <c r="A257" s="78"/>
      <c r="B257" s="105"/>
      <c r="C257" s="82"/>
      <c r="D257" s="82"/>
      <c r="E257" s="83"/>
      <c r="F257" s="82"/>
      <c r="G257" s="82"/>
      <c r="H257" s="82"/>
      <c r="I257" s="83"/>
      <c r="J257" s="82"/>
      <c r="K257" s="82"/>
      <c r="L257" s="82"/>
      <c r="M257" s="83"/>
      <c r="N257" s="82"/>
      <c r="O257" s="82"/>
      <c r="P257" s="82"/>
      <c r="Q257" s="83"/>
      <c r="R257" s="82"/>
      <c r="S257" s="82"/>
      <c r="T257" s="82"/>
      <c r="U257" s="83"/>
      <c r="V257" s="82"/>
      <c r="W257" s="82"/>
      <c r="X257" s="82"/>
      <c r="Y257" s="83"/>
      <c r="Z257" s="82"/>
      <c r="AA257" s="82"/>
      <c r="AB257" s="82"/>
      <c r="AC257" s="83"/>
      <c r="AD257" s="82"/>
      <c r="AE257" s="82"/>
      <c r="AF257" s="82"/>
      <c r="AG257" s="83"/>
      <c r="AH257" s="82"/>
      <c r="AI257" s="82"/>
      <c r="AJ257" s="82"/>
      <c r="AK257" s="83"/>
      <c r="AL257" s="82"/>
      <c r="AM257" s="82"/>
      <c r="AN257" s="82"/>
      <c r="AO257" s="82"/>
      <c r="AP257" s="84" t="str">
        <f t="shared" si="2"/>
        <v/>
      </c>
      <c r="AQ257" s="9"/>
      <c r="AR257" s="9"/>
      <c r="AS257" s="8"/>
      <c r="AT257" s="9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8"/>
      <c r="BX257" s="9"/>
      <c r="BY257" s="9"/>
      <c r="BZ257" s="9"/>
      <c r="CA257" s="33"/>
      <c r="CB257" s="85" t="str">
        <f t="shared" si="3"/>
        <v/>
      </c>
      <c r="CC257" s="86" t="str">
        <f t="shared" si="4"/>
        <v/>
      </c>
      <c r="CD257" s="86" t="str">
        <f t="shared" si="5"/>
        <v/>
      </c>
      <c r="CE257" s="86" t="str">
        <f t="shared" si="6"/>
        <v/>
      </c>
      <c r="CF257" s="86" t="str">
        <f t="shared" si="7"/>
        <v/>
      </c>
      <c r="CG257" s="86" t="str">
        <f t="shared" si="8"/>
        <v/>
      </c>
      <c r="CH257" s="86" t="str">
        <f t="shared" si="9"/>
        <v/>
      </c>
      <c r="CI257" s="86" t="str">
        <f t="shared" si="10"/>
        <v/>
      </c>
      <c r="CJ257" s="86" t="str">
        <f t="shared" si="11"/>
        <v/>
      </c>
      <c r="CK257" s="86" t="str">
        <f t="shared" si="12"/>
        <v/>
      </c>
      <c r="CL257" s="86" t="str">
        <f t="shared" si="13"/>
        <v/>
      </c>
      <c r="CM257" s="87" t="str">
        <f t="shared" si="14"/>
        <v/>
      </c>
      <c r="CN257" s="88" t="str">
        <f t="shared" si="26"/>
        <v/>
      </c>
      <c r="CO257" s="88" t="str">
        <f t="shared" si="15"/>
        <v/>
      </c>
      <c r="CP257" s="88" t="str">
        <f t="shared" si="16"/>
        <v/>
      </c>
      <c r="CQ257" s="88" t="str">
        <f t="shared" si="17"/>
        <v/>
      </c>
      <c r="CR257" s="88" t="str">
        <f t="shared" si="18"/>
        <v/>
      </c>
      <c r="CS257" s="88" t="str">
        <f t="shared" si="19"/>
        <v/>
      </c>
      <c r="CT257" s="88" t="str">
        <f t="shared" si="20"/>
        <v/>
      </c>
      <c r="CU257" s="88" t="str">
        <f t="shared" si="21"/>
        <v/>
      </c>
      <c r="CV257" s="88" t="str">
        <f t="shared" si="22"/>
        <v/>
      </c>
      <c r="CW257" s="88" t="str">
        <f t="shared" si="23"/>
        <v/>
      </c>
      <c r="CX257" s="7"/>
      <c r="CY257" s="7"/>
      <c r="CZ257" s="7"/>
      <c r="DA257" s="8"/>
      <c r="DU257" s="104" t="str">
        <f t="shared" si="24"/>
        <v/>
      </c>
      <c r="DV257" s="93" t="str">
        <f>ABA!$A257</f>
        <v/>
      </c>
      <c r="DW257" s="82" t="str">
        <f t="shared" si="25"/>
        <v/>
      </c>
    </row>
    <row r="258" ht="15.75" customHeight="1">
      <c r="A258" s="85"/>
      <c r="B258" s="107"/>
      <c r="C258" s="98"/>
      <c r="D258" s="98"/>
      <c r="E258" s="99"/>
      <c r="F258" s="98"/>
      <c r="G258" s="98"/>
      <c r="H258" s="98"/>
      <c r="I258" s="99"/>
      <c r="J258" s="98"/>
      <c r="K258" s="98"/>
      <c r="L258" s="98"/>
      <c r="M258" s="99"/>
      <c r="N258" s="98"/>
      <c r="O258" s="98"/>
      <c r="P258" s="98"/>
      <c r="Q258" s="99"/>
      <c r="R258" s="98"/>
      <c r="S258" s="98"/>
      <c r="T258" s="98"/>
      <c r="U258" s="99"/>
      <c r="V258" s="98"/>
      <c r="W258" s="98"/>
      <c r="X258" s="98"/>
      <c r="Y258" s="100"/>
      <c r="Z258" s="98"/>
      <c r="AA258" s="98"/>
      <c r="AB258" s="98"/>
      <c r="AC258" s="99"/>
      <c r="AD258" s="98"/>
      <c r="AE258" s="98"/>
      <c r="AF258" s="98"/>
      <c r="AG258" s="99"/>
      <c r="AH258" s="98"/>
      <c r="AI258" s="98"/>
      <c r="AJ258" s="98"/>
      <c r="AK258" s="99"/>
      <c r="AL258" s="98"/>
      <c r="AM258" s="98"/>
      <c r="AN258" s="98"/>
      <c r="AO258" s="98"/>
      <c r="AP258" s="84" t="str">
        <f t="shared" si="2"/>
        <v/>
      </c>
      <c r="AQ258" s="9"/>
      <c r="AR258" s="9"/>
      <c r="AS258" s="8"/>
      <c r="AT258" s="9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8"/>
      <c r="BX258" s="9"/>
      <c r="BY258" s="9"/>
      <c r="BZ258" s="9"/>
      <c r="CA258" s="33"/>
      <c r="CB258" s="85" t="str">
        <f t="shared" si="3"/>
        <v/>
      </c>
      <c r="CC258" s="86" t="str">
        <f t="shared" si="4"/>
        <v/>
      </c>
      <c r="CD258" s="86" t="str">
        <f t="shared" si="5"/>
        <v/>
      </c>
      <c r="CE258" s="86" t="str">
        <f t="shared" si="6"/>
        <v/>
      </c>
      <c r="CF258" s="86" t="str">
        <f t="shared" si="7"/>
        <v/>
      </c>
      <c r="CG258" s="86" t="str">
        <f t="shared" si="8"/>
        <v/>
      </c>
      <c r="CH258" s="86" t="str">
        <f t="shared" si="9"/>
        <v/>
      </c>
      <c r="CI258" s="86" t="str">
        <f t="shared" si="10"/>
        <v/>
      </c>
      <c r="CJ258" s="86" t="str">
        <f t="shared" si="11"/>
        <v/>
      </c>
      <c r="CK258" s="86" t="str">
        <f t="shared" si="12"/>
        <v/>
      </c>
      <c r="CL258" s="86" t="str">
        <f t="shared" si="13"/>
        <v/>
      </c>
      <c r="CM258" s="87" t="str">
        <f t="shared" si="14"/>
        <v/>
      </c>
      <c r="CN258" s="88" t="str">
        <f t="shared" si="26"/>
        <v/>
      </c>
      <c r="CO258" s="88" t="str">
        <f t="shared" si="15"/>
        <v/>
      </c>
      <c r="CP258" s="88" t="str">
        <f t="shared" si="16"/>
        <v/>
      </c>
      <c r="CQ258" s="88" t="str">
        <f t="shared" si="17"/>
        <v/>
      </c>
      <c r="CR258" s="88" t="str">
        <f t="shared" si="18"/>
        <v/>
      </c>
      <c r="CS258" s="88" t="str">
        <f t="shared" si="19"/>
        <v/>
      </c>
      <c r="CT258" s="88" t="str">
        <f t="shared" si="20"/>
        <v/>
      </c>
      <c r="CU258" s="88" t="str">
        <f t="shared" si="21"/>
        <v/>
      </c>
      <c r="CV258" s="88" t="str">
        <f t="shared" si="22"/>
        <v/>
      </c>
      <c r="CW258" s="88" t="str">
        <f t="shared" si="23"/>
        <v/>
      </c>
      <c r="CX258" s="7"/>
      <c r="CY258" s="7"/>
      <c r="CZ258" s="7"/>
      <c r="DA258" s="8"/>
      <c r="DU258" s="93" t="str">
        <f t="shared" si="24"/>
        <v/>
      </c>
      <c r="DV258" s="104" t="str">
        <f>ABA!$A258</f>
        <v/>
      </c>
      <c r="DW258" s="98" t="str">
        <f t="shared" si="25"/>
        <v/>
      </c>
    </row>
    <row r="259" ht="15.75" customHeight="1">
      <c r="A259" s="78"/>
      <c r="B259" s="105"/>
      <c r="C259" s="82"/>
      <c r="D259" s="82"/>
      <c r="E259" s="83"/>
      <c r="F259" s="82"/>
      <c r="G259" s="82"/>
      <c r="H259" s="82"/>
      <c r="I259" s="83"/>
      <c r="J259" s="82"/>
      <c r="K259" s="82"/>
      <c r="L259" s="82"/>
      <c r="M259" s="83"/>
      <c r="N259" s="82"/>
      <c r="O259" s="82"/>
      <c r="P259" s="82"/>
      <c r="Q259" s="83"/>
      <c r="R259" s="82"/>
      <c r="S259" s="82"/>
      <c r="T259" s="82"/>
      <c r="U259" s="83"/>
      <c r="V259" s="82"/>
      <c r="W259" s="82"/>
      <c r="X259" s="82"/>
      <c r="Y259" s="83"/>
      <c r="Z259" s="82"/>
      <c r="AA259" s="82"/>
      <c r="AB259" s="82"/>
      <c r="AC259" s="83"/>
      <c r="AD259" s="82"/>
      <c r="AE259" s="82"/>
      <c r="AF259" s="82"/>
      <c r="AG259" s="83"/>
      <c r="AH259" s="82"/>
      <c r="AI259" s="82"/>
      <c r="AJ259" s="82"/>
      <c r="AK259" s="83"/>
      <c r="AL259" s="82"/>
      <c r="AM259" s="82"/>
      <c r="AN259" s="82"/>
      <c r="AO259" s="82"/>
      <c r="AP259" s="84" t="str">
        <f t="shared" si="2"/>
        <v/>
      </c>
      <c r="AQ259" s="9"/>
      <c r="AR259" s="9"/>
      <c r="AS259" s="8"/>
      <c r="AT259" s="9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8"/>
      <c r="BX259" s="9"/>
      <c r="BY259" s="9"/>
      <c r="BZ259" s="9"/>
      <c r="CA259" s="33"/>
      <c r="CB259" s="85" t="str">
        <f t="shared" si="3"/>
        <v/>
      </c>
      <c r="CC259" s="86" t="str">
        <f t="shared" si="4"/>
        <v/>
      </c>
      <c r="CD259" s="86" t="str">
        <f t="shared" si="5"/>
        <v/>
      </c>
      <c r="CE259" s="86" t="str">
        <f t="shared" si="6"/>
        <v/>
      </c>
      <c r="CF259" s="86" t="str">
        <f t="shared" si="7"/>
        <v/>
      </c>
      <c r="CG259" s="86" t="str">
        <f t="shared" si="8"/>
        <v/>
      </c>
      <c r="CH259" s="86" t="str">
        <f t="shared" si="9"/>
        <v/>
      </c>
      <c r="CI259" s="86" t="str">
        <f t="shared" si="10"/>
        <v/>
      </c>
      <c r="CJ259" s="86" t="str">
        <f t="shared" si="11"/>
        <v/>
      </c>
      <c r="CK259" s="86" t="str">
        <f t="shared" si="12"/>
        <v/>
      </c>
      <c r="CL259" s="86" t="str">
        <f t="shared" si="13"/>
        <v/>
      </c>
      <c r="CM259" s="87" t="str">
        <f t="shared" si="14"/>
        <v/>
      </c>
      <c r="CN259" s="88" t="str">
        <f t="shared" si="26"/>
        <v/>
      </c>
      <c r="CO259" s="88" t="str">
        <f t="shared" si="15"/>
        <v/>
      </c>
      <c r="CP259" s="88" t="str">
        <f t="shared" si="16"/>
        <v/>
      </c>
      <c r="CQ259" s="88" t="str">
        <f t="shared" si="17"/>
        <v/>
      </c>
      <c r="CR259" s="88" t="str">
        <f t="shared" si="18"/>
        <v/>
      </c>
      <c r="CS259" s="88" t="str">
        <f t="shared" si="19"/>
        <v/>
      </c>
      <c r="CT259" s="88" t="str">
        <f t="shared" si="20"/>
        <v/>
      </c>
      <c r="CU259" s="88" t="str">
        <f t="shared" si="21"/>
        <v/>
      </c>
      <c r="CV259" s="88" t="str">
        <f t="shared" si="22"/>
        <v/>
      </c>
      <c r="CW259" s="88" t="str">
        <f t="shared" si="23"/>
        <v/>
      </c>
      <c r="CX259" s="7"/>
      <c r="CY259" s="7"/>
      <c r="CZ259" s="7"/>
      <c r="DA259" s="8"/>
      <c r="DU259" s="104" t="str">
        <f t="shared" si="24"/>
        <v/>
      </c>
      <c r="DV259" s="93" t="str">
        <f>ABA!$A259</f>
        <v/>
      </c>
      <c r="DW259" s="82" t="str">
        <f t="shared" si="25"/>
        <v/>
      </c>
    </row>
    <row r="260" ht="15.75" customHeight="1">
      <c r="A260" s="85"/>
      <c r="B260" s="107"/>
      <c r="C260" s="98"/>
      <c r="D260" s="98"/>
      <c r="E260" s="99"/>
      <c r="F260" s="98"/>
      <c r="G260" s="98"/>
      <c r="H260" s="98"/>
      <c r="I260" s="99"/>
      <c r="J260" s="98"/>
      <c r="K260" s="98"/>
      <c r="L260" s="98"/>
      <c r="M260" s="99"/>
      <c r="N260" s="98"/>
      <c r="O260" s="98"/>
      <c r="P260" s="98"/>
      <c r="Q260" s="99"/>
      <c r="R260" s="98"/>
      <c r="S260" s="98"/>
      <c r="T260" s="98"/>
      <c r="U260" s="99"/>
      <c r="V260" s="98"/>
      <c r="W260" s="98"/>
      <c r="X260" s="98"/>
      <c r="Y260" s="100"/>
      <c r="Z260" s="98"/>
      <c r="AA260" s="98"/>
      <c r="AB260" s="98"/>
      <c r="AC260" s="99"/>
      <c r="AD260" s="98"/>
      <c r="AE260" s="98"/>
      <c r="AF260" s="98"/>
      <c r="AG260" s="99"/>
      <c r="AH260" s="98"/>
      <c r="AI260" s="98"/>
      <c r="AJ260" s="98"/>
      <c r="AK260" s="99"/>
      <c r="AL260" s="98"/>
      <c r="AM260" s="98"/>
      <c r="AN260" s="98"/>
      <c r="AO260" s="98"/>
      <c r="AP260" s="84" t="str">
        <f t="shared" si="2"/>
        <v/>
      </c>
      <c r="AQ260" s="9"/>
      <c r="AR260" s="9"/>
      <c r="AS260" s="8"/>
      <c r="AT260" s="9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8"/>
      <c r="BX260" s="9"/>
      <c r="BY260" s="9"/>
      <c r="BZ260" s="9"/>
      <c r="CA260" s="33"/>
      <c r="CB260" s="85" t="str">
        <f t="shared" si="3"/>
        <v/>
      </c>
      <c r="CC260" s="86" t="str">
        <f t="shared" si="4"/>
        <v/>
      </c>
      <c r="CD260" s="86" t="str">
        <f t="shared" si="5"/>
        <v/>
      </c>
      <c r="CE260" s="86" t="str">
        <f t="shared" si="6"/>
        <v/>
      </c>
      <c r="CF260" s="86" t="str">
        <f t="shared" si="7"/>
        <v/>
      </c>
      <c r="CG260" s="86" t="str">
        <f t="shared" si="8"/>
        <v/>
      </c>
      <c r="CH260" s="86" t="str">
        <f t="shared" si="9"/>
        <v/>
      </c>
      <c r="CI260" s="86" t="str">
        <f t="shared" si="10"/>
        <v/>
      </c>
      <c r="CJ260" s="86" t="str">
        <f t="shared" si="11"/>
        <v/>
      </c>
      <c r="CK260" s="86" t="str">
        <f t="shared" si="12"/>
        <v/>
      </c>
      <c r="CL260" s="86" t="str">
        <f t="shared" si="13"/>
        <v/>
      </c>
      <c r="CM260" s="87" t="str">
        <f t="shared" si="14"/>
        <v/>
      </c>
      <c r="CN260" s="88" t="str">
        <f t="shared" si="26"/>
        <v/>
      </c>
      <c r="CO260" s="88" t="str">
        <f t="shared" si="15"/>
        <v/>
      </c>
      <c r="CP260" s="88" t="str">
        <f t="shared" si="16"/>
        <v/>
      </c>
      <c r="CQ260" s="88" t="str">
        <f t="shared" si="17"/>
        <v/>
      </c>
      <c r="CR260" s="88" t="str">
        <f t="shared" si="18"/>
        <v/>
      </c>
      <c r="CS260" s="88" t="str">
        <f t="shared" si="19"/>
        <v/>
      </c>
      <c r="CT260" s="88" t="str">
        <f t="shared" si="20"/>
        <v/>
      </c>
      <c r="CU260" s="88" t="str">
        <f t="shared" si="21"/>
        <v/>
      </c>
      <c r="CV260" s="88" t="str">
        <f t="shared" si="22"/>
        <v/>
      </c>
      <c r="CW260" s="88" t="str">
        <f t="shared" si="23"/>
        <v/>
      </c>
      <c r="CX260" s="7"/>
      <c r="CY260" s="7"/>
      <c r="CZ260" s="7"/>
      <c r="DA260" s="8"/>
      <c r="DU260" s="93" t="str">
        <f t="shared" si="24"/>
        <v/>
      </c>
      <c r="DV260" s="104" t="str">
        <f>ABA!$A260</f>
        <v/>
      </c>
      <c r="DW260" s="98" t="str">
        <f t="shared" si="25"/>
        <v/>
      </c>
    </row>
    <row r="261" ht="15.75" customHeight="1">
      <c r="A261" s="78"/>
      <c r="B261" s="105"/>
      <c r="C261" s="82"/>
      <c r="D261" s="82"/>
      <c r="E261" s="83"/>
      <c r="F261" s="82"/>
      <c r="G261" s="82"/>
      <c r="H261" s="82"/>
      <c r="I261" s="83"/>
      <c r="J261" s="82"/>
      <c r="K261" s="82"/>
      <c r="L261" s="82"/>
      <c r="M261" s="83"/>
      <c r="N261" s="82"/>
      <c r="O261" s="82"/>
      <c r="P261" s="82"/>
      <c r="Q261" s="83"/>
      <c r="R261" s="82"/>
      <c r="S261" s="82"/>
      <c r="T261" s="82"/>
      <c r="U261" s="83"/>
      <c r="V261" s="82"/>
      <c r="W261" s="82"/>
      <c r="X261" s="82"/>
      <c r="Y261" s="83"/>
      <c r="Z261" s="82"/>
      <c r="AA261" s="82"/>
      <c r="AB261" s="82"/>
      <c r="AC261" s="83"/>
      <c r="AD261" s="82"/>
      <c r="AE261" s="82"/>
      <c r="AF261" s="82"/>
      <c r="AG261" s="83"/>
      <c r="AH261" s="82"/>
      <c r="AI261" s="82"/>
      <c r="AJ261" s="82"/>
      <c r="AK261" s="83"/>
      <c r="AL261" s="82"/>
      <c r="AM261" s="82"/>
      <c r="AN261" s="82"/>
      <c r="AO261" s="82"/>
      <c r="AP261" s="84" t="str">
        <f t="shared" si="2"/>
        <v/>
      </c>
      <c r="AQ261" s="9"/>
      <c r="AR261" s="9"/>
      <c r="AS261" s="8"/>
      <c r="AT261" s="9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8"/>
      <c r="BX261" s="9"/>
      <c r="BY261" s="9"/>
      <c r="BZ261" s="9"/>
      <c r="CA261" s="33"/>
      <c r="CB261" s="85" t="str">
        <f t="shared" si="3"/>
        <v/>
      </c>
      <c r="CC261" s="86" t="str">
        <f t="shared" si="4"/>
        <v/>
      </c>
      <c r="CD261" s="86" t="str">
        <f t="shared" si="5"/>
        <v/>
      </c>
      <c r="CE261" s="86" t="str">
        <f t="shared" si="6"/>
        <v/>
      </c>
      <c r="CF261" s="86" t="str">
        <f t="shared" si="7"/>
        <v/>
      </c>
      <c r="CG261" s="86" t="str">
        <f t="shared" si="8"/>
        <v/>
      </c>
      <c r="CH261" s="86" t="str">
        <f t="shared" si="9"/>
        <v/>
      </c>
      <c r="CI261" s="86" t="str">
        <f t="shared" si="10"/>
        <v/>
      </c>
      <c r="CJ261" s="86" t="str">
        <f t="shared" si="11"/>
        <v/>
      </c>
      <c r="CK261" s="86" t="str">
        <f t="shared" si="12"/>
        <v/>
      </c>
      <c r="CL261" s="86" t="str">
        <f t="shared" si="13"/>
        <v/>
      </c>
      <c r="CM261" s="87" t="str">
        <f t="shared" si="14"/>
        <v/>
      </c>
      <c r="CN261" s="88" t="str">
        <f t="shared" si="26"/>
        <v/>
      </c>
      <c r="CO261" s="88" t="str">
        <f t="shared" si="15"/>
        <v/>
      </c>
      <c r="CP261" s="88" t="str">
        <f t="shared" si="16"/>
        <v/>
      </c>
      <c r="CQ261" s="88" t="str">
        <f t="shared" si="17"/>
        <v/>
      </c>
      <c r="CR261" s="88" t="str">
        <f t="shared" si="18"/>
        <v/>
      </c>
      <c r="CS261" s="88" t="str">
        <f t="shared" si="19"/>
        <v/>
      </c>
      <c r="CT261" s="88" t="str">
        <f t="shared" si="20"/>
        <v/>
      </c>
      <c r="CU261" s="88" t="str">
        <f t="shared" si="21"/>
        <v/>
      </c>
      <c r="CV261" s="88" t="str">
        <f t="shared" si="22"/>
        <v/>
      </c>
      <c r="CW261" s="88" t="str">
        <f t="shared" si="23"/>
        <v/>
      </c>
      <c r="CX261" s="7"/>
      <c r="CY261" s="7"/>
      <c r="CZ261" s="7"/>
      <c r="DA261" s="8"/>
      <c r="DU261" s="104" t="str">
        <f t="shared" si="24"/>
        <v/>
      </c>
      <c r="DV261" s="93" t="str">
        <f>ABA!$A261</f>
        <v/>
      </c>
      <c r="DW261" s="82" t="str">
        <f t="shared" si="25"/>
        <v/>
      </c>
    </row>
    <row r="262" ht="15.75" customHeight="1">
      <c r="A262" s="85"/>
      <c r="B262" s="107"/>
      <c r="C262" s="98"/>
      <c r="D262" s="98"/>
      <c r="E262" s="99"/>
      <c r="F262" s="98"/>
      <c r="G262" s="98"/>
      <c r="H262" s="98"/>
      <c r="I262" s="99"/>
      <c r="J262" s="98"/>
      <c r="K262" s="98"/>
      <c r="L262" s="98"/>
      <c r="M262" s="99"/>
      <c r="N262" s="98"/>
      <c r="O262" s="98"/>
      <c r="P262" s="98"/>
      <c r="Q262" s="99"/>
      <c r="R262" s="98"/>
      <c r="S262" s="98"/>
      <c r="T262" s="98"/>
      <c r="U262" s="99"/>
      <c r="V262" s="98"/>
      <c r="W262" s="98"/>
      <c r="X262" s="98"/>
      <c r="Y262" s="100"/>
      <c r="Z262" s="98"/>
      <c r="AA262" s="98"/>
      <c r="AB262" s="98"/>
      <c r="AC262" s="99"/>
      <c r="AD262" s="98"/>
      <c r="AE262" s="98"/>
      <c r="AF262" s="98"/>
      <c r="AG262" s="99"/>
      <c r="AH262" s="98"/>
      <c r="AI262" s="98"/>
      <c r="AJ262" s="98"/>
      <c r="AK262" s="99"/>
      <c r="AL262" s="98"/>
      <c r="AM262" s="98"/>
      <c r="AN262" s="98"/>
      <c r="AO262" s="98"/>
      <c r="AP262" s="84" t="str">
        <f t="shared" si="2"/>
        <v/>
      </c>
      <c r="AQ262" s="9"/>
      <c r="AR262" s="9"/>
      <c r="AS262" s="8"/>
      <c r="AT262" s="9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8"/>
      <c r="BX262" s="9"/>
      <c r="BY262" s="9"/>
      <c r="BZ262" s="9"/>
      <c r="CA262" s="33"/>
      <c r="CB262" s="85" t="str">
        <f t="shared" si="3"/>
        <v/>
      </c>
      <c r="CC262" s="86" t="str">
        <f t="shared" si="4"/>
        <v/>
      </c>
      <c r="CD262" s="86" t="str">
        <f t="shared" si="5"/>
        <v/>
      </c>
      <c r="CE262" s="86" t="str">
        <f t="shared" si="6"/>
        <v/>
      </c>
      <c r="CF262" s="86" t="str">
        <f t="shared" si="7"/>
        <v/>
      </c>
      <c r="CG262" s="86" t="str">
        <f t="shared" si="8"/>
        <v/>
      </c>
      <c r="CH262" s="86" t="str">
        <f t="shared" si="9"/>
        <v/>
      </c>
      <c r="CI262" s="86" t="str">
        <f t="shared" si="10"/>
        <v/>
      </c>
      <c r="CJ262" s="86" t="str">
        <f t="shared" si="11"/>
        <v/>
      </c>
      <c r="CK262" s="86" t="str">
        <f t="shared" si="12"/>
        <v/>
      </c>
      <c r="CL262" s="86" t="str">
        <f t="shared" si="13"/>
        <v/>
      </c>
      <c r="CM262" s="87" t="str">
        <f t="shared" si="14"/>
        <v/>
      </c>
      <c r="CN262" s="88" t="str">
        <f t="shared" si="26"/>
        <v/>
      </c>
      <c r="CO262" s="88" t="str">
        <f t="shared" si="15"/>
        <v/>
      </c>
      <c r="CP262" s="88" t="str">
        <f t="shared" si="16"/>
        <v/>
      </c>
      <c r="CQ262" s="88" t="str">
        <f t="shared" si="17"/>
        <v/>
      </c>
      <c r="CR262" s="88" t="str">
        <f t="shared" si="18"/>
        <v/>
      </c>
      <c r="CS262" s="88" t="str">
        <f t="shared" si="19"/>
        <v/>
      </c>
      <c r="CT262" s="88" t="str">
        <f t="shared" si="20"/>
        <v/>
      </c>
      <c r="CU262" s="88" t="str">
        <f t="shared" si="21"/>
        <v/>
      </c>
      <c r="CV262" s="88" t="str">
        <f t="shared" si="22"/>
        <v/>
      </c>
      <c r="CW262" s="88" t="str">
        <f t="shared" si="23"/>
        <v/>
      </c>
      <c r="CX262" s="7"/>
      <c r="CY262" s="7"/>
      <c r="CZ262" s="7"/>
      <c r="DA262" s="8"/>
      <c r="DU262" s="93" t="str">
        <f t="shared" si="24"/>
        <v/>
      </c>
      <c r="DV262" s="104" t="str">
        <f>ABA!$A262</f>
        <v/>
      </c>
      <c r="DW262" s="98" t="str">
        <f t="shared" si="25"/>
        <v/>
      </c>
    </row>
    <row r="263" ht="15.75" customHeight="1">
      <c r="A263" s="78"/>
      <c r="B263" s="105"/>
      <c r="C263" s="82"/>
      <c r="D263" s="82"/>
      <c r="E263" s="83"/>
      <c r="F263" s="82"/>
      <c r="G263" s="82"/>
      <c r="H263" s="82"/>
      <c r="I263" s="83"/>
      <c r="J263" s="82"/>
      <c r="K263" s="82"/>
      <c r="L263" s="82"/>
      <c r="M263" s="83"/>
      <c r="N263" s="82"/>
      <c r="O263" s="82"/>
      <c r="P263" s="82"/>
      <c r="Q263" s="83"/>
      <c r="R263" s="82"/>
      <c r="S263" s="82"/>
      <c r="T263" s="82"/>
      <c r="U263" s="83"/>
      <c r="V263" s="82"/>
      <c r="W263" s="82"/>
      <c r="X263" s="82"/>
      <c r="Y263" s="83"/>
      <c r="Z263" s="82"/>
      <c r="AA263" s="82"/>
      <c r="AB263" s="82"/>
      <c r="AC263" s="83"/>
      <c r="AD263" s="82"/>
      <c r="AE263" s="82"/>
      <c r="AF263" s="82"/>
      <c r="AG263" s="83"/>
      <c r="AH263" s="82"/>
      <c r="AI263" s="82"/>
      <c r="AJ263" s="82"/>
      <c r="AK263" s="83"/>
      <c r="AL263" s="82"/>
      <c r="AM263" s="82"/>
      <c r="AN263" s="82"/>
      <c r="AO263" s="82"/>
      <c r="AP263" s="84" t="str">
        <f t="shared" si="2"/>
        <v/>
      </c>
      <c r="AQ263" s="9"/>
      <c r="AR263" s="9"/>
      <c r="AS263" s="8"/>
      <c r="AT263" s="9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8"/>
      <c r="BX263" s="9"/>
      <c r="BY263" s="9"/>
      <c r="BZ263" s="9"/>
      <c r="CA263" s="33"/>
      <c r="CB263" s="85" t="str">
        <f t="shared" si="3"/>
        <v/>
      </c>
      <c r="CC263" s="86" t="str">
        <f t="shared" si="4"/>
        <v/>
      </c>
      <c r="CD263" s="86" t="str">
        <f t="shared" si="5"/>
        <v/>
      </c>
      <c r="CE263" s="86" t="str">
        <f t="shared" si="6"/>
        <v/>
      </c>
      <c r="CF263" s="86" t="str">
        <f t="shared" si="7"/>
        <v/>
      </c>
      <c r="CG263" s="86" t="str">
        <f t="shared" si="8"/>
        <v/>
      </c>
      <c r="CH263" s="86" t="str">
        <f t="shared" si="9"/>
        <v/>
      </c>
      <c r="CI263" s="86" t="str">
        <f t="shared" si="10"/>
        <v/>
      </c>
      <c r="CJ263" s="86" t="str">
        <f t="shared" si="11"/>
        <v/>
      </c>
      <c r="CK263" s="86" t="str">
        <f t="shared" si="12"/>
        <v/>
      </c>
      <c r="CL263" s="86" t="str">
        <f t="shared" si="13"/>
        <v/>
      </c>
      <c r="CM263" s="87" t="str">
        <f t="shared" si="14"/>
        <v/>
      </c>
      <c r="CN263" s="88" t="str">
        <f t="shared" si="26"/>
        <v/>
      </c>
      <c r="CO263" s="88" t="str">
        <f t="shared" si="15"/>
        <v/>
      </c>
      <c r="CP263" s="88" t="str">
        <f t="shared" si="16"/>
        <v/>
      </c>
      <c r="CQ263" s="88" t="str">
        <f t="shared" si="17"/>
        <v/>
      </c>
      <c r="CR263" s="88" t="str">
        <f t="shared" si="18"/>
        <v/>
      </c>
      <c r="CS263" s="88" t="str">
        <f t="shared" si="19"/>
        <v/>
      </c>
      <c r="CT263" s="88" t="str">
        <f t="shared" si="20"/>
        <v/>
      </c>
      <c r="CU263" s="88" t="str">
        <f t="shared" si="21"/>
        <v/>
      </c>
      <c r="CV263" s="88" t="str">
        <f t="shared" si="22"/>
        <v/>
      </c>
      <c r="CW263" s="88" t="str">
        <f t="shared" si="23"/>
        <v/>
      </c>
      <c r="CX263" s="7"/>
      <c r="CY263" s="7"/>
      <c r="CZ263" s="7"/>
      <c r="DA263" s="8"/>
      <c r="DU263" s="104" t="str">
        <f t="shared" si="24"/>
        <v/>
      </c>
      <c r="DV263" s="93" t="str">
        <f>ABA!$A263</f>
        <v/>
      </c>
      <c r="DW263" s="82" t="str">
        <f t="shared" si="25"/>
        <v/>
      </c>
    </row>
    <row r="264" ht="15.75" customHeight="1">
      <c r="A264" s="85"/>
      <c r="B264" s="107"/>
      <c r="C264" s="98"/>
      <c r="D264" s="98"/>
      <c r="E264" s="99"/>
      <c r="F264" s="98"/>
      <c r="G264" s="98"/>
      <c r="H264" s="98"/>
      <c r="I264" s="99"/>
      <c r="J264" s="98"/>
      <c r="K264" s="98"/>
      <c r="L264" s="98"/>
      <c r="M264" s="99"/>
      <c r="N264" s="98"/>
      <c r="O264" s="98"/>
      <c r="P264" s="98"/>
      <c r="Q264" s="99"/>
      <c r="R264" s="98"/>
      <c r="S264" s="98"/>
      <c r="T264" s="98"/>
      <c r="U264" s="99"/>
      <c r="V264" s="98"/>
      <c r="W264" s="98"/>
      <c r="X264" s="98"/>
      <c r="Y264" s="100"/>
      <c r="Z264" s="98"/>
      <c r="AA264" s="98"/>
      <c r="AB264" s="98"/>
      <c r="AC264" s="99"/>
      <c r="AD264" s="98"/>
      <c r="AE264" s="98"/>
      <c r="AF264" s="98"/>
      <c r="AG264" s="99"/>
      <c r="AH264" s="98"/>
      <c r="AI264" s="98"/>
      <c r="AJ264" s="98"/>
      <c r="AK264" s="99"/>
      <c r="AL264" s="98"/>
      <c r="AM264" s="98"/>
      <c r="AN264" s="98"/>
      <c r="AO264" s="98"/>
      <c r="AP264" s="84" t="str">
        <f t="shared" si="2"/>
        <v/>
      </c>
      <c r="AQ264" s="9"/>
      <c r="AR264" s="9"/>
      <c r="AS264" s="8"/>
      <c r="AT264" s="9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8"/>
      <c r="BX264" s="9"/>
      <c r="BY264" s="9"/>
      <c r="BZ264" s="9"/>
      <c r="CA264" s="33"/>
      <c r="CB264" s="85" t="str">
        <f t="shared" si="3"/>
        <v/>
      </c>
      <c r="CC264" s="86" t="str">
        <f t="shared" si="4"/>
        <v/>
      </c>
      <c r="CD264" s="86" t="str">
        <f t="shared" si="5"/>
        <v/>
      </c>
      <c r="CE264" s="86" t="str">
        <f t="shared" si="6"/>
        <v/>
      </c>
      <c r="CF264" s="86" t="str">
        <f t="shared" si="7"/>
        <v/>
      </c>
      <c r="CG264" s="86" t="str">
        <f t="shared" si="8"/>
        <v/>
      </c>
      <c r="CH264" s="86" t="str">
        <f t="shared" si="9"/>
        <v/>
      </c>
      <c r="CI264" s="86" t="str">
        <f t="shared" si="10"/>
        <v/>
      </c>
      <c r="CJ264" s="86" t="str">
        <f t="shared" si="11"/>
        <v/>
      </c>
      <c r="CK264" s="86" t="str">
        <f t="shared" si="12"/>
        <v/>
      </c>
      <c r="CL264" s="86" t="str">
        <f t="shared" si="13"/>
        <v/>
      </c>
      <c r="CM264" s="87" t="str">
        <f t="shared" si="14"/>
        <v/>
      </c>
      <c r="CN264" s="88" t="str">
        <f t="shared" si="26"/>
        <v/>
      </c>
      <c r="CO264" s="88" t="str">
        <f t="shared" si="15"/>
        <v/>
      </c>
      <c r="CP264" s="88" t="str">
        <f t="shared" si="16"/>
        <v/>
      </c>
      <c r="CQ264" s="88" t="str">
        <f t="shared" si="17"/>
        <v/>
      </c>
      <c r="CR264" s="88" t="str">
        <f t="shared" si="18"/>
        <v/>
      </c>
      <c r="CS264" s="88" t="str">
        <f t="shared" si="19"/>
        <v/>
      </c>
      <c r="CT264" s="88" t="str">
        <f t="shared" si="20"/>
        <v/>
      </c>
      <c r="CU264" s="88" t="str">
        <f t="shared" si="21"/>
        <v/>
      </c>
      <c r="CV264" s="88" t="str">
        <f t="shared" si="22"/>
        <v/>
      </c>
      <c r="CW264" s="88" t="str">
        <f t="shared" si="23"/>
        <v/>
      </c>
      <c r="CX264" s="7"/>
      <c r="CY264" s="7"/>
      <c r="CZ264" s="7"/>
      <c r="DA264" s="8"/>
      <c r="DU264" s="93" t="str">
        <f t="shared" si="24"/>
        <v/>
      </c>
      <c r="DV264" s="104" t="str">
        <f>ABA!$A264</f>
        <v/>
      </c>
      <c r="DW264" s="98" t="str">
        <f t="shared" si="25"/>
        <v/>
      </c>
    </row>
    <row r="265" ht="15.75" customHeight="1">
      <c r="A265" s="78"/>
      <c r="B265" s="105"/>
      <c r="C265" s="82"/>
      <c r="D265" s="82"/>
      <c r="E265" s="83"/>
      <c r="F265" s="82"/>
      <c r="G265" s="82"/>
      <c r="H265" s="82"/>
      <c r="I265" s="83"/>
      <c r="J265" s="82"/>
      <c r="K265" s="82"/>
      <c r="L265" s="82"/>
      <c r="M265" s="83"/>
      <c r="N265" s="82"/>
      <c r="O265" s="82"/>
      <c r="P265" s="82"/>
      <c r="Q265" s="83"/>
      <c r="R265" s="82"/>
      <c r="S265" s="82"/>
      <c r="T265" s="82"/>
      <c r="U265" s="83"/>
      <c r="V265" s="82"/>
      <c r="W265" s="82"/>
      <c r="X265" s="82"/>
      <c r="Y265" s="83"/>
      <c r="Z265" s="82"/>
      <c r="AA265" s="82"/>
      <c r="AB265" s="82"/>
      <c r="AC265" s="83"/>
      <c r="AD265" s="82"/>
      <c r="AE265" s="82"/>
      <c r="AF265" s="82"/>
      <c r="AG265" s="83"/>
      <c r="AH265" s="82"/>
      <c r="AI265" s="82"/>
      <c r="AJ265" s="82"/>
      <c r="AK265" s="83"/>
      <c r="AL265" s="82"/>
      <c r="AM265" s="82"/>
      <c r="AN265" s="82"/>
      <c r="AO265" s="82"/>
      <c r="AP265" s="84" t="str">
        <f t="shared" si="2"/>
        <v/>
      </c>
      <c r="AQ265" s="9"/>
      <c r="AR265" s="9"/>
      <c r="AS265" s="8"/>
      <c r="AT265" s="9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8"/>
      <c r="BX265" s="9"/>
      <c r="BY265" s="9"/>
      <c r="BZ265" s="9"/>
      <c r="CA265" s="33"/>
      <c r="CB265" s="85" t="str">
        <f t="shared" si="3"/>
        <v/>
      </c>
      <c r="CC265" s="86" t="str">
        <f t="shared" si="4"/>
        <v/>
      </c>
      <c r="CD265" s="86" t="str">
        <f t="shared" si="5"/>
        <v/>
      </c>
      <c r="CE265" s="86" t="str">
        <f t="shared" si="6"/>
        <v/>
      </c>
      <c r="CF265" s="86" t="str">
        <f t="shared" si="7"/>
        <v/>
      </c>
      <c r="CG265" s="86" t="str">
        <f t="shared" si="8"/>
        <v/>
      </c>
      <c r="CH265" s="86" t="str">
        <f t="shared" si="9"/>
        <v/>
      </c>
      <c r="CI265" s="86" t="str">
        <f t="shared" si="10"/>
        <v/>
      </c>
      <c r="CJ265" s="86" t="str">
        <f t="shared" si="11"/>
        <v/>
      </c>
      <c r="CK265" s="86" t="str">
        <f t="shared" si="12"/>
        <v/>
      </c>
      <c r="CL265" s="86" t="str">
        <f t="shared" si="13"/>
        <v/>
      </c>
      <c r="CM265" s="87" t="str">
        <f t="shared" si="14"/>
        <v/>
      </c>
      <c r="CN265" s="88" t="str">
        <f t="shared" si="26"/>
        <v/>
      </c>
      <c r="CO265" s="88" t="str">
        <f t="shared" si="15"/>
        <v/>
      </c>
      <c r="CP265" s="88" t="str">
        <f t="shared" si="16"/>
        <v/>
      </c>
      <c r="CQ265" s="88" t="str">
        <f t="shared" si="17"/>
        <v/>
      </c>
      <c r="CR265" s="88" t="str">
        <f t="shared" si="18"/>
        <v/>
      </c>
      <c r="CS265" s="88" t="str">
        <f t="shared" si="19"/>
        <v/>
      </c>
      <c r="CT265" s="88" t="str">
        <f t="shared" si="20"/>
        <v/>
      </c>
      <c r="CU265" s="88" t="str">
        <f t="shared" si="21"/>
        <v/>
      </c>
      <c r="CV265" s="88" t="str">
        <f t="shared" si="22"/>
        <v/>
      </c>
      <c r="CW265" s="88" t="str">
        <f t="shared" si="23"/>
        <v/>
      </c>
      <c r="CX265" s="7"/>
      <c r="CY265" s="7"/>
      <c r="CZ265" s="7"/>
      <c r="DA265" s="8"/>
      <c r="DU265" s="104" t="str">
        <f t="shared" si="24"/>
        <v/>
      </c>
      <c r="DV265" s="93" t="str">
        <f>ABA!$A265</f>
        <v/>
      </c>
      <c r="DW265" s="82" t="str">
        <f t="shared" si="25"/>
        <v/>
      </c>
    </row>
    <row r="266" ht="15.75" customHeight="1">
      <c r="A266" s="85"/>
      <c r="B266" s="107"/>
      <c r="C266" s="98"/>
      <c r="D266" s="98"/>
      <c r="E266" s="99"/>
      <c r="F266" s="98"/>
      <c r="G266" s="98"/>
      <c r="H266" s="98"/>
      <c r="I266" s="99"/>
      <c r="J266" s="98"/>
      <c r="K266" s="98"/>
      <c r="L266" s="98"/>
      <c r="M266" s="99"/>
      <c r="N266" s="98"/>
      <c r="O266" s="98"/>
      <c r="P266" s="98"/>
      <c r="Q266" s="99"/>
      <c r="R266" s="98"/>
      <c r="S266" s="98"/>
      <c r="T266" s="98"/>
      <c r="U266" s="99"/>
      <c r="V266" s="98"/>
      <c r="W266" s="98"/>
      <c r="X266" s="98"/>
      <c r="Y266" s="100"/>
      <c r="Z266" s="98"/>
      <c r="AA266" s="98"/>
      <c r="AB266" s="98"/>
      <c r="AC266" s="99"/>
      <c r="AD266" s="98"/>
      <c r="AE266" s="98"/>
      <c r="AF266" s="98"/>
      <c r="AG266" s="99"/>
      <c r="AH266" s="98"/>
      <c r="AI266" s="98"/>
      <c r="AJ266" s="98"/>
      <c r="AK266" s="99"/>
      <c r="AL266" s="98"/>
      <c r="AM266" s="98"/>
      <c r="AN266" s="98"/>
      <c r="AO266" s="98"/>
      <c r="AP266" s="84" t="str">
        <f t="shared" si="2"/>
        <v/>
      </c>
      <c r="AQ266" s="9"/>
      <c r="AR266" s="9"/>
      <c r="AS266" s="8"/>
      <c r="AT266" s="9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8"/>
      <c r="BX266" s="9"/>
      <c r="BY266" s="9"/>
      <c r="BZ266" s="9"/>
      <c r="CA266" s="33"/>
      <c r="CB266" s="85" t="str">
        <f t="shared" si="3"/>
        <v/>
      </c>
      <c r="CC266" s="86" t="str">
        <f t="shared" si="4"/>
        <v/>
      </c>
      <c r="CD266" s="86" t="str">
        <f t="shared" si="5"/>
        <v/>
      </c>
      <c r="CE266" s="86" t="str">
        <f t="shared" si="6"/>
        <v/>
      </c>
      <c r="CF266" s="86" t="str">
        <f t="shared" si="7"/>
        <v/>
      </c>
      <c r="CG266" s="86" t="str">
        <f t="shared" si="8"/>
        <v/>
      </c>
      <c r="CH266" s="86" t="str">
        <f t="shared" si="9"/>
        <v/>
      </c>
      <c r="CI266" s="86" t="str">
        <f t="shared" si="10"/>
        <v/>
      </c>
      <c r="CJ266" s="86" t="str">
        <f t="shared" si="11"/>
        <v/>
      </c>
      <c r="CK266" s="86" t="str">
        <f t="shared" si="12"/>
        <v/>
      </c>
      <c r="CL266" s="86" t="str">
        <f t="shared" si="13"/>
        <v/>
      </c>
      <c r="CM266" s="87" t="str">
        <f t="shared" si="14"/>
        <v/>
      </c>
      <c r="CN266" s="88" t="str">
        <f t="shared" si="26"/>
        <v/>
      </c>
      <c r="CO266" s="88" t="str">
        <f t="shared" si="15"/>
        <v/>
      </c>
      <c r="CP266" s="88" t="str">
        <f t="shared" si="16"/>
        <v/>
      </c>
      <c r="CQ266" s="88" t="str">
        <f t="shared" si="17"/>
        <v/>
      </c>
      <c r="CR266" s="88" t="str">
        <f t="shared" si="18"/>
        <v/>
      </c>
      <c r="CS266" s="88" t="str">
        <f t="shared" si="19"/>
        <v/>
      </c>
      <c r="CT266" s="88" t="str">
        <f t="shared" si="20"/>
        <v/>
      </c>
      <c r="CU266" s="88" t="str">
        <f t="shared" si="21"/>
        <v/>
      </c>
      <c r="CV266" s="88" t="str">
        <f t="shared" si="22"/>
        <v/>
      </c>
      <c r="CW266" s="88" t="str">
        <f t="shared" si="23"/>
        <v/>
      </c>
      <c r="CX266" s="7"/>
      <c r="CY266" s="7"/>
      <c r="CZ266" s="7"/>
      <c r="DA266" s="8"/>
      <c r="DU266" s="93" t="str">
        <f t="shared" si="24"/>
        <v/>
      </c>
      <c r="DV266" s="104" t="str">
        <f>ABA!$A266</f>
        <v/>
      </c>
      <c r="DW266" s="98" t="str">
        <f t="shared" si="25"/>
        <v/>
      </c>
    </row>
    <row r="267" ht="15.75" customHeight="1">
      <c r="A267" s="78"/>
      <c r="B267" s="105"/>
      <c r="C267" s="82"/>
      <c r="D267" s="82"/>
      <c r="E267" s="83"/>
      <c r="F267" s="82"/>
      <c r="G267" s="82"/>
      <c r="H267" s="82"/>
      <c r="I267" s="83"/>
      <c r="J267" s="82"/>
      <c r="K267" s="82"/>
      <c r="L267" s="82"/>
      <c r="M267" s="83"/>
      <c r="N267" s="82"/>
      <c r="O267" s="82"/>
      <c r="P267" s="82"/>
      <c r="Q267" s="83"/>
      <c r="R267" s="82"/>
      <c r="S267" s="82"/>
      <c r="T267" s="82"/>
      <c r="U267" s="83"/>
      <c r="V267" s="82"/>
      <c r="W267" s="82"/>
      <c r="X267" s="82"/>
      <c r="Y267" s="83"/>
      <c r="Z267" s="82"/>
      <c r="AA267" s="82"/>
      <c r="AB267" s="82"/>
      <c r="AC267" s="83"/>
      <c r="AD267" s="82"/>
      <c r="AE267" s="82"/>
      <c r="AF267" s="82"/>
      <c r="AG267" s="83"/>
      <c r="AH267" s="82"/>
      <c r="AI267" s="82"/>
      <c r="AJ267" s="82"/>
      <c r="AK267" s="83"/>
      <c r="AL267" s="82"/>
      <c r="AM267" s="82"/>
      <c r="AN267" s="82"/>
      <c r="AO267" s="82"/>
      <c r="AP267" s="84" t="str">
        <f t="shared" si="2"/>
        <v/>
      </c>
      <c r="AQ267" s="9"/>
      <c r="AR267" s="9"/>
      <c r="AS267" s="8"/>
      <c r="AT267" s="9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8"/>
      <c r="BX267" s="9"/>
      <c r="BY267" s="9"/>
      <c r="BZ267" s="9"/>
      <c r="CA267" s="33"/>
      <c r="CB267" s="85" t="str">
        <f t="shared" si="3"/>
        <v/>
      </c>
      <c r="CC267" s="86" t="str">
        <f t="shared" si="4"/>
        <v/>
      </c>
      <c r="CD267" s="86" t="str">
        <f t="shared" si="5"/>
        <v/>
      </c>
      <c r="CE267" s="86" t="str">
        <f t="shared" si="6"/>
        <v/>
      </c>
      <c r="CF267" s="86" t="str">
        <f t="shared" si="7"/>
        <v/>
      </c>
      <c r="CG267" s="86" t="str">
        <f t="shared" si="8"/>
        <v/>
      </c>
      <c r="CH267" s="86" t="str">
        <f t="shared" si="9"/>
        <v/>
      </c>
      <c r="CI267" s="86" t="str">
        <f t="shared" si="10"/>
        <v/>
      </c>
      <c r="CJ267" s="86" t="str">
        <f t="shared" si="11"/>
        <v/>
      </c>
      <c r="CK267" s="86" t="str">
        <f t="shared" si="12"/>
        <v/>
      </c>
      <c r="CL267" s="86" t="str">
        <f t="shared" si="13"/>
        <v/>
      </c>
      <c r="CM267" s="87" t="str">
        <f t="shared" si="14"/>
        <v/>
      </c>
      <c r="CN267" s="88" t="str">
        <f t="shared" si="26"/>
        <v/>
      </c>
      <c r="CO267" s="88" t="str">
        <f t="shared" si="15"/>
        <v/>
      </c>
      <c r="CP267" s="88" t="str">
        <f t="shared" si="16"/>
        <v/>
      </c>
      <c r="CQ267" s="88" t="str">
        <f t="shared" si="17"/>
        <v/>
      </c>
      <c r="CR267" s="88" t="str">
        <f t="shared" si="18"/>
        <v/>
      </c>
      <c r="CS267" s="88" t="str">
        <f t="shared" si="19"/>
        <v/>
      </c>
      <c r="CT267" s="88" t="str">
        <f t="shared" si="20"/>
        <v/>
      </c>
      <c r="CU267" s="88" t="str">
        <f t="shared" si="21"/>
        <v/>
      </c>
      <c r="CV267" s="88" t="str">
        <f t="shared" si="22"/>
        <v/>
      </c>
      <c r="CW267" s="88" t="str">
        <f t="shared" si="23"/>
        <v/>
      </c>
      <c r="CX267" s="7"/>
      <c r="CY267" s="7"/>
      <c r="CZ267" s="7"/>
      <c r="DA267" s="8"/>
      <c r="DU267" s="104" t="str">
        <f t="shared" si="24"/>
        <v/>
      </c>
      <c r="DV267" s="93" t="str">
        <f>ABA!$A267</f>
        <v/>
      </c>
      <c r="DW267" s="82" t="str">
        <f t="shared" si="25"/>
        <v/>
      </c>
    </row>
    <row r="268" ht="15.75" customHeight="1">
      <c r="A268" s="85"/>
      <c r="B268" s="107"/>
      <c r="C268" s="98"/>
      <c r="D268" s="98"/>
      <c r="E268" s="99"/>
      <c r="F268" s="98"/>
      <c r="G268" s="98"/>
      <c r="H268" s="98"/>
      <c r="I268" s="99"/>
      <c r="J268" s="98"/>
      <c r="K268" s="98"/>
      <c r="L268" s="98"/>
      <c r="M268" s="99"/>
      <c r="N268" s="98"/>
      <c r="O268" s="98"/>
      <c r="P268" s="98"/>
      <c r="Q268" s="99"/>
      <c r="R268" s="98"/>
      <c r="S268" s="98"/>
      <c r="T268" s="98"/>
      <c r="U268" s="99"/>
      <c r="V268" s="98"/>
      <c r="W268" s="98"/>
      <c r="X268" s="98"/>
      <c r="Y268" s="100"/>
      <c r="Z268" s="98"/>
      <c r="AA268" s="98"/>
      <c r="AB268" s="98"/>
      <c r="AC268" s="99"/>
      <c r="AD268" s="98"/>
      <c r="AE268" s="98"/>
      <c r="AF268" s="98"/>
      <c r="AG268" s="99"/>
      <c r="AH268" s="98"/>
      <c r="AI268" s="98"/>
      <c r="AJ268" s="98"/>
      <c r="AK268" s="99"/>
      <c r="AL268" s="98"/>
      <c r="AM268" s="98"/>
      <c r="AN268" s="98"/>
      <c r="AO268" s="98"/>
      <c r="AP268" s="84" t="str">
        <f t="shared" si="2"/>
        <v/>
      </c>
      <c r="AQ268" s="9"/>
      <c r="AR268" s="9"/>
      <c r="AS268" s="8"/>
      <c r="AT268" s="9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8"/>
      <c r="BX268" s="9"/>
      <c r="BY268" s="9"/>
      <c r="BZ268" s="9"/>
      <c r="CA268" s="33"/>
      <c r="CB268" s="85" t="str">
        <f t="shared" si="3"/>
        <v/>
      </c>
      <c r="CC268" s="86" t="str">
        <f t="shared" si="4"/>
        <v/>
      </c>
      <c r="CD268" s="86" t="str">
        <f t="shared" si="5"/>
        <v/>
      </c>
      <c r="CE268" s="86" t="str">
        <f t="shared" si="6"/>
        <v/>
      </c>
      <c r="CF268" s="86" t="str">
        <f t="shared" si="7"/>
        <v/>
      </c>
      <c r="CG268" s="86" t="str">
        <f t="shared" si="8"/>
        <v/>
      </c>
      <c r="CH268" s="86" t="str">
        <f t="shared" si="9"/>
        <v/>
      </c>
      <c r="CI268" s="86" t="str">
        <f t="shared" si="10"/>
        <v/>
      </c>
      <c r="CJ268" s="86" t="str">
        <f t="shared" si="11"/>
        <v/>
      </c>
      <c r="CK268" s="86" t="str">
        <f t="shared" si="12"/>
        <v/>
      </c>
      <c r="CL268" s="86" t="str">
        <f t="shared" si="13"/>
        <v/>
      </c>
      <c r="CM268" s="87" t="str">
        <f t="shared" si="14"/>
        <v/>
      </c>
      <c r="CN268" s="88" t="str">
        <f t="shared" si="26"/>
        <v/>
      </c>
      <c r="CO268" s="88" t="str">
        <f t="shared" si="15"/>
        <v/>
      </c>
      <c r="CP268" s="88" t="str">
        <f t="shared" si="16"/>
        <v/>
      </c>
      <c r="CQ268" s="88" t="str">
        <f t="shared" si="17"/>
        <v/>
      </c>
      <c r="CR268" s="88" t="str">
        <f t="shared" si="18"/>
        <v/>
      </c>
      <c r="CS268" s="88" t="str">
        <f t="shared" si="19"/>
        <v/>
      </c>
      <c r="CT268" s="88" t="str">
        <f t="shared" si="20"/>
        <v/>
      </c>
      <c r="CU268" s="88" t="str">
        <f t="shared" si="21"/>
        <v/>
      </c>
      <c r="CV268" s="88" t="str">
        <f t="shared" si="22"/>
        <v/>
      </c>
      <c r="CW268" s="88" t="str">
        <f t="shared" si="23"/>
        <v/>
      </c>
      <c r="CX268" s="7"/>
      <c r="CY268" s="7"/>
      <c r="CZ268" s="7"/>
      <c r="DA268" s="8"/>
      <c r="DU268" s="93" t="str">
        <f t="shared" si="24"/>
        <v/>
      </c>
      <c r="DV268" s="104" t="str">
        <f>ABA!$A268</f>
        <v/>
      </c>
      <c r="DW268" s="98" t="str">
        <f t="shared" si="25"/>
        <v/>
      </c>
    </row>
    <row r="269" ht="15.75" customHeight="1">
      <c r="A269" s="78"/>
      <c r="B269" s="105"/>
      <c r="C269" s="82"/>
      <c r="D269" s="82"/>
      <c r="E269" s="83"/>
      <c r="F269" s="82"/>
      <c r="G269" s="82"/>
      <c r="H269" s="82"/>
      <c r="I269" s="83"/>
      <c r="J269" s="82"/>
      <c r="K269" s="82"/>
      <c r="L269" s="82"/>
      <c r="M269" s="83"/>
      <c r="N269" s="82"/>
      <c r="O269" s="82"/>
      <c r="P269" s="82"/>
      <c r="Q269" s="83"/>
      <c r="R269" s="82"/>
      <c r="S269" s="82"/>
      <c r="T269" s="82"/>
      <c r="U269" s="83"/>
      <c r="V269" s="82"/>
      <c r="W269" s="82"/>
      <c r="X269" s="82"/>
      <c r="Y269" s="83"/>
      <c r="Z269" s="82"/>
      <c r="AA269" s="82"/>
      <c r="AB269" s="82"/>
      <c r="AC269" s="83"/>
      <c r="AD269" s="82"/>
      <c r="AE269" s="82"/>
      <c r="AF269" s="82"/>
      <c r="AG269" s="83"/>
      <c r="AH269" s="82"/>
      <c r="AI269" s="82"/>
      <c r="AJ269" s="82"/>
      <c r="AK269" s="83"/>
      <c r="AL269" s="82"/>
      <c r="AM269" s="82"/>
      <c r="AN269" s="82"/>
      <c r="AO269" s="82"/>
      <c r="AP269" s="84" t="str">
        <f t="shared" si="2"/>
        <v/>
      </c>
      <c r="AQ269" s="9"/>
      <c r="AR269" s="9"/>
      <c r="AS269" s="8"/>
      <c r="AT269" s="9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8"/>
      <c r="BX269" s="9"/>
      <c r="BY269" s="9"/>
      <c r="BZ269" s="9"/>
      <c r="CA269" s="33"/>
      <c r="CB269" s="85" t="str">
        <f t="shared" si="3"/>
        <v/>
      </c>
      <c r="CC269" s="86" t="str">
        <f t="shared" si="4"/>
        <v/>
      </c>
      <c r="CD269" s="86" t="str">
        <f t="shared" si="5"/>
        <v/>
      </c>
      <c r="CE269" s="86" t="str">
        <f t="shared" si="6"/>
        <v/>
      </c>
      <c r="CF269" s="86" t="str">
        <f t="shared" si="7"/>
        <v/>
      </c>
      <c r="CG269" s="86" t="str">
        <f t="shared" si="8"/>
        <v/>
      </c>
      <c r="CH269" s="86" t="str">
        <f t="shared" si="9"/>
        <v/>
      </c>
      <c r="CI269" s="86" t="str">
        <f t="shared" si="10"/>
        <v/>
      </c>
      <c r="CJ269" s="86" t="str">
        <f t="shared" si="11"/>
        <v/>
      </c>
      <c r="CK269" s="86" t="str">
        <f t="shared" si="12"/>
        <v/>
      </c>
      <c r="CL269" s="86" t="str">
        <f t="shared" si="13"/>
        <v/>
      </c>
      <c r="CM269" s="87" t="str">
        <f t="shared" si="14"/>
        <v/>
      </c>
      <c r="CN269" s="88" t="str">
        <f t="shared" si="26"/>
        <v/>
      </c>
      <c r="CO269" s="88" t="str">
        <f t="shared" si="15"/>
        <v/>
      </c>
      <c r="CP269" s="88" t="str">
        <f t="shared" si="16"/>
        <v/>
      </c>
      <c r="CQ269" s="88" t="str">
        <f t="shared" si="17"/>
        <v/>
      </c>
      <c r="CR269" s="88" t="str">
        <f t="shared" si="18"/>
        <v/>
      </c>
      <c r="CS269" s="88" t="str">
        <f t="shared" si="19"/>
        <v/>
      </c>
      <c r="CT269" s="88" t="str">
        <f t="shared" si="20"/>
        <v/>
      </c>
      <c r="CU269" s="88" t="str">
        <f t="shared" si="21"/>
        <v/>
      </c>
      <c r="CV269" s="88" t="str">
        <f t="shared" si="22"/>
        <v/>
      </c>
      <c r="CW269" s="88" t="str">
        <f t="shared" si="23"/>
        <v/>
      </c>
      <c r="CX269" s="7"/>
      <c r="CY269" s="7"/>
      <c r="CZ269" s="7"/>
      <c r="DA269" s="8"/>
      <c r="DU269" s="104" t="str">
        <f t="shared" si="24"/>
        <v/>
      </c>
      <c r="DV269" s="93" t="str">
        <f>ABA!$A269</f>
        <v/>
      </c>
      <c r="DW269" s="82" t="str">
        <f t="shared" si="25"/>
        <v/>
      </c>
    </row>
    <row r="270" ht="15.75" customHeight="1">
      <c r="A270" s="85"/>
      <c r="B270" s="107"/>
      <c r="C270" s="98"/>
      <c r="D270" s="98"/>
      <c r="E270" s="99"/>
      <c r="F270" s="98"/>
      <c r="G270" s="98"/>
      <c r="H270" s="98"/>
      <c r="I270" s="99"/>
      <c r="J270" s="98"/>
      <c r="K270" s="98"/>
      <c r="L270" s="98"/>
      <c r="M270" s="99"/>
      <c r="N270" s="98"/>
      <c r="O270" s="98"/>
      <c r="P270" s="98"/>
      <c r="Q270" s="99"/>
      <c r="R270" s="98"/>
      <c r="S270" s="98"/>
      <c r="T270" s="98"/>
      <c r="U270" s="99"/>
      <c r="V270" s="98"/>
      <c r="W270" s="98"/>
      <c r="X270" s="98"/>
      <c r="Y270" s="100"/>
      <c r="Z270" s="98"/>
      <c r="AA270" s="98"/>
      <c r="AB270" s="98"/>
      <c r="AC270" s="99"/>
      <c r="AD270" s="98"/>
      <c r="AE270" s="98"/>
      <c r="AF270" s="98"/>
      <c r="AG270" s="99"/>
      <c r="AH270" s="98"/>
      <c r="AI270" s="98"/>
      <c r="AJ270" s="98"/>
      <c r="AK270" s="99"/>
      <c r="AL270" s="98"/>
      <c r="AM270" s="98"/>
      <c r="AN270" s="98"/>
      <c r="AO270" s="98"/>
      <c r="AP270" s="84" t="str">
        <f t="shared" si="2"/>
        <v/>
      </c>
      <c r="AQ270" s="9"/>
      <c r="AR270" s="9"/>
      <c r="AS270" s="8"/>
      <c r="AT270" s="9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8"/>
      <c r="BX270" s="9"/>
      <c r="BY270" s="9"/>
      <c r="BZ270" s="9"/>
      <c r="CA270" s="33"/>
      <c r="CB270" s="85" t="str">
        <f t="shared" si="3"/>
        <v/>
      </c>
      <c r="CC270" s="86" t="str">
        <f t="shared" si="4"/>
        <v/>
      </c>
      <c r="CD270" s="86" t="str">
        <f t="shared" si="5"/>
        <v/>
      </c>
      <c r="CE270" s="86" t="str">
        <f t="shared" si="6"/>
        <v/>
      </c>
      <c r="CF270" s="86" t="str">
        <f t="shared" si="7"/>
        <v/>
      </c>
      <c r="CG270" s="86" t="str">
        <f t="shared" si="8"/>
        <v/>
      </c>
      <c r="CH270" s="86" t="str">
        <f t="shared" si="9"/>
        <v/>
      </c>
      <c r="CI270" s="86" t="str">
        <f t="shared" si="10"/>
        <v/>
      </c>
      <c r="CJ270" s="86" t="str">
        <f t="shared" si="11"/>
        <v/>
      </c>
      <c r="CK270" s="86" t="str">
        <f t="shared" si="12"/>
        <v/>
      </c>
      <c r="CL270" s="86" t="str">
        <f t="shared" si="13"/>
        <v/>
      </c>
      <c r="CM270" s="87" t="str">
        <f t="shared" si="14"/>
        <v/>
      </c>
      <c r="CN270" s="88" t="str">
        <f t="shared" si="26"/>
        <v/>
      </c>
      <c r="CO270" s="88" t="str">
        <f t="shared" si="15"/>
        <v/>
      </c>
      <c r="CP270" s="88" t="str">
        <f t="shared" si="16"/>
        <v/>
      </c>
      <c r="CQ270" s="88" t="str">
        <f t="shared" si="17"/>
        <v/>
      </c>
      <c r="CR270" s="88" t="str">
        <f t="shared" si="18"/>
        <v/>
      </c>
      <c r="CS270" s="88" t="str">
        <f t="shared" si="19"/>
        <v/>
      </c>
      <c r="CT270" s="88" t="str">
        <f t="shared" si="20"/>
        <v/>
      </c>
      <c r="CU270" s="88" t="str">
        <f t="shared" si="21"/>
        <v/>
      </c>
      <c r="CV270" s="88" t="str">
        <f t="shared" si="22"/>
        <v/>
      </c>
      <c r="CW270" s="88" t="str">
        <f t="shared" si="23"/>
        <v/>
      </c>
      <c r="CX270" s="7"/>
      <c r="CY270" s="7"/>
      <c r="CZ270" s="7"/>
      <c r="DA270" s="8"/>
      <c r="DU270" s="93" t="str">
        <f t="shared" si="24"/>
        <v/>
      </c>
      <c r="DV270" s="104" t="str">
        <f>ABA!$A270</f>
        <v/>
      </c>
      <c r="DW270" s="98" t="str">
        <f t="shared" si="25"/>
        <v/>
      </c>
    </row>
    <row r="271" ht="15.75" customHeight="1">
      <c r="A271" s="78"/>
      <c r="B271" s="105"/>
      <c r="C271" s="82"/>
      <c r="D271" s="82"/>
      <c r="E271" s="83"/>
      <c r="F271" s="82"/>
      <c r="G271" s="82"/>
      <c r="H271" s="82"/>
      <c r="I271" s="83"/>
      <c r="J271" s="82"/>
      <c r="K271" s="82"/>
      <c r="L271" s="82"/>
      <c r="M271" s="83"/>
      <c r="N271" s="82"/>
      <c r="O271" s="82"/>
      <c r="P271" s="82"/>
      <c r="Q271" s="83"/>
      <c r="R271" s="82"/>
      <c r="S271" s="82"/>
      <c r="T271" s="82"/>
      <c r="U271" s="83"/>
      <c r="V271" s="82"/>
      <c r="W271" s="82"/>
      <c r="X271" s="82"/>
      <c r="Y271" s="83"/>
      <c r="Z271" s="82"/>
      <c r="AA271" s="82"/>
      <c r="AB271" s="82"/>
      <c r="AC271" s="83"/>
      <c r="AD271" s="82"/>
      <c r="AE271" s="82"/>
      <c r="AF271" s="82"/>
      <c r="AG271" s="83"/>
      <c r="AH271" s="82"/>
      <c r="AI271" s="82"/>
      <c r="AJ271" s="82"/>
      <c r="AK271" s="83"/>
      <c r="AL271" s="82"/>
      <c r="AM271" s="82"/>
      <c r="AN271" s="82"/>
      <c r="AO271" s="82"/>
      <c r="AP271" s="84" t="str">
        <f t="shared" si="2"/>
        <v/>
      </c>
      <c r="AQ271" s="9"/>
      <c r="AR271" s="9"/>
      <c r="AS271" s="8"/>
      <c r="AT271" s="9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8"/>
      <c r="BX271" s="9"/>
      <c r="BY271" s="9"/>
      <c r="BZ271" s="9"/>
      <c r="CA271" s="33"/>
      <c r="CB271" s="85" t="str">
        <f t="shared" si="3"/>
        <v/>
      </c>
      <c r="CC271" s="86" t="str">
        <f t="shared" si="4"/>
        <v/>
      </c>
      <c r="CD271" s="86" t="str">
        <f t="shared" si="5"/>
        <v/>
      </c>
      <c r="CE271" s="86" t="str">
        <f t="shared" si="6"/>
        <v/>
      </c>
      <c r="CF271" s="86" t="str">
        <f t="shared" si="7"/>
        <v/>
      </c>
      <c r="CG271" s="86" t="str">
        <f t="shared" si="8"/>
        <v/>
      </c>
      <c r="CH271" s="86" t="str">
        <f t="shared" si="9"/>
        <v/>
      </c>
      <c r="CI271" s="86" t="str">
        <f t="shared" si="10"/>
        <v/>
      </c>
      <c r="CJ271" s="86" t="str">
        <f t="shared" si="11"/>
        <v/>
      </c>
      <c r="CK271" s="86" t="str">
        <f t="shared" si="12"/>
        <v/>
      </c>
      <c r="CL271" s="86" t="str">
        <f t="shared" si="13"/>
        <v/>
      </c>
      <c r="CM271" s="87" t="str">
        <f t="shared" si="14"/>
        <v/>
      </c>
      <c r="CN271" s="88" t="str">
        <f t="shared" si="26"/>
        <v/>
      </c>
      <c r="CO271" s="88" t="str">
        <f t="shared" si="15"/>
        <v/>
      </c>
      <c r="CP271" s="88" t="str">
        <f t="shared" si="16"/>
        <v/>
      </c>
      <c r="CQ271" s="88" t="str">
        <f t="shared" si="17"/>
        <v/>
      </c>
      <c r="CR271" s="88" t="str">
        <f t="shared" si="18"/>
        <v/>
      </c>
      <c r="CS271" s="88" t="str">
        <f t="shared" si="19"/>
        <v/>
      </c>
      <c r="CT271" s="88" t="str">
        <f t="shared" si="20"/>
        <v/>
      </c>
      <c r="CU271" s="88" t="str">
        <f t="shared" si="21"/>
        <v/>
      </c>
      <c r="CV271" s="88" t="str">
        <f t="shared" si="22"/>
        <v/>
      </c>
      <c r="CW271" s="88" t="str">
        <f t="shared" si="23"/>
        <v/>
      </c>
      <c r="CX271" s="7"/>
      <c r="CY271" s="7"/>
      <c r="CZ271" s="7"/>
      <c r="DA271" s="8"/>
      <c r="DU271" s="104" t="str">
        <f t="shared" si="24"/>
        <v/>
      </c>
      <c r="DV271" s="93" t="str">
        <f>ABA!$A271</f>
        <v/>
      </c>
      <c r="DW271" s="82" t="str">
        <f t="shared" si="25"/>
        <v/>
      </c>
    </row>
    <row r="272" ht="15.75" customHeight="1">
      <c r="A272" s="85"/>
      <c r="B272" s="107"/>
      <c r="C272" s="98"/>
      <c r="D272" s="98"/>
      <c r="E272" s="99"/>
      <c r="F272" s="98"/>
      <c r="G272" s="98"/>
      <c r="H272" s="98"/>
      <c r="I272" s="99"/>
      <c r="J272" s="98"/>
      <c r="K272" s="98"/>
      <c r="L272" s="98"/>
      <c r="M272" s="99"/>
      <c r="N272" s="98"/>
      <c r="O272" s="98"/>
      <c r="P272" s="98"/>
      <c r="Q272" s="99"/>
      <c r="R272" s="98"/>
      <c r="S272" s="98"/>
      <c r="T272" s="98"/>
      <c r="U272" s="99"/>
      <c r="V272" s="98"/>
      <c r="W272" s="98"/>
      <c r="X272" s="98"/>
      <c r="Y272" s="100"/>
      <c r="Z272" s="98"/>
      <c r="AA272" s="98"/>
      <c r="AB272" s="98"/>
      <c r="AC272" s="99"/>
      <c r="AD272" s="98"/>
      <c r="AE272" s="98"/>
      <c r="AF272" s="98"/>
      <c r="AG272" s="99"/>
      <c r="AH272" s="98"/>
      <c r="AI272" s="98"/>
      <c r="AJ272" s="98"/>
      <c r="AK272" s="99"/>
      <c r="AL272" s="98"/>
      <c r="AM272" s="98"/>
      <c r="AN272" s="98"/>
      <c r="AO272" s="98"/>
      <c r="AP272" s="84" t="str">
        <f t="shared" si="2"/>
        <v/>
      </c>
      <c r="AQ272" s="9"/>
      <c r="AR272" s="9"/>
      <c r="AS272" s="8"/>
      <c r="AT272" s="9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8"/>
      <c r="BX272" s="9"/>
      <c r="BY272" s="9"/>
      <c r="BZ272" s="9"/>
      <c r="CA272" s="33"/>
      <c r="CB272" s="85" t="str">
        <f t="shared" si="3"/>
        <v/>
      </c>
      <c r="CC272" s="86" t="str">
        <f t="shared" si="4"/>
        <v/>
      </c>
      <c r="CD272" s="86" t="str">
        <f t="shared" si="5"/>
        <v/>
      </c>
      <c r="CE272" s="86" t="str">
        <f t="shared" si="6"/>
        <v/>
      </c>
      <c r="CF272" s="86" t="str">
        <f t="shared" si="7"/>
        <v/>
      </c>
      <c r="CG272" s="86" t="str">
        <f t="shared" si="8"/>
        <v/>
      </c>
      <c r="CH272" s="86" t="str">
        <f t="shared" si="9"/>
        <v/>
      </c>
      <c r="CI272" s="86" t="str">
        <f t="shared" si="10"/>
        <v/>
      </c>
      <c r="CJ272" s="86" t="str">
        <f t="shared" si="11"/>
        <v/>
      </c>
      <c r="CK272" s="86" t="str">
        <f t="shared" si="12"/>
        <v/>
      </c>
      <c r="CL272" s="86" t="str">
        <f t="shared" si="13"/>
        <v/>
      </c>
      <c r="CM272" s="87" t="str">
        <f t="shared" si="14"/>
        <v/>
      </c>
      <c r="CN272" s="88" t="str">
        <f t="shared" si="26"/>
        <v/>
      </c>
      <c r="CO272" s="88" t="str">
        <f t="shared" si="15"/>
        <v/>
      </c>
      <c r="CP272" s="88" t="str">
        <f t="shared" si="16"/>
        <v/>
      </c>
      <c r="CQ272" s="88" t="str">
        <f t="shared" si="17"/>
        <v/>
      </c>
      <c r="CR272" s="88" t="str">
        <f t="shared" si="18"/>
        <v/>
      </c>
      <c r="CS272" s="88" t="str">
        <f t="shared" si="19"/>
        <v/>
      </c>
      <c r="CT272" s="88" t="str">
        <f t="shared" si="20"/>
        <v/>
      </c>
      <c r="CU272" s="88" t="str">
        <f t="shared" si="21"/>
        <v/>
      </c>
      <c r="CV272" s="88" t="str">
        <f t="shared" si="22"/>
        <v/>
      </c>
      <c r="CW272" s="88" t="str">
        <f t="shared" si="23"/>
        <v/>
      </c>
      <c r="CX272" s="7"/>
      <c r="CY272" s="7"/>
      <c r="CZ272" s="7"/>
      <c r="DA272" s="8"/>
      <c r="DU272" s="93" t="str">
        <f t="shared" si="24"/>
        <v/>
      </c>
      <c r="DV272" s="104" t="str">
        <f>ABA!$A272</f>
        <v/>
      </c>
      <c r="DW272" s="98" t="str">
        <f t="shared" si="25"/>
        <v/>
      </c>
    </row>
    <row r="273" ht="15.75" customHeight="1">
      <c r="A273" s="78"/>
      <c r="B273" s="105"/>
      <c r="C273" s="82"/>
      <c r="D273" s="82"/>
      <c r="E273" s="83"/>
      <c r="F273" s="82"/>
      <c r="G273" s="82"/>
      <c r="H273" s="82"/>
      <c r="I273" s="83"/>
      <c r="J273" s="82"/>
      <c r="K273" s="82"/>
      <c r="L273" s="82"/>
      <c r="M273" s="83"/>
      <c r="N273" s="82"/>
      <c r="O273" s="82"/>
      <c r="P273" s="82"/>
      <c r="Q273" s="83"/>
      <c r="R273" s="82"/>
      <c r="S273" s="82"/>
      <c r="T273" s="82"/>
      <c r="U273" s="83"/>
      <c r="V273" s="82"/>
      <c r="W273" s="82"/>
      <c r="X273" s="82"/>
      <c r="Y273" s="83"/>
      <c r="Z273" s="82"/>
      <c r="AA273" s="82"/>
      <c r="AB273" s="82"/>
      <c r="AC273" s="83"/>
      <c r="AD273" s="82"/>
      <c r="AE273" s="82"/>
      <c r="AF273" s="82"/>
      <c r="AG273" s="83"/>
      <c r="AH273" s="82"/>
      <c r="AI273" s="82"/>
      <c r="AJ273" s="82"/>
      <c r="AK273" s="83"/>
      <c r="AL273" s="82"/>
      <c r="AM273" s="82"/>
      <c r="AN273" s="82"/>
      <c r="AO273" s="82"/>
      <c r="AP273" s="84" t="str">
        <f t="shared" si="2"/>
        <v/>
      </c>
      <c r="AQ273" s="9"/>
      <c r="AR273" s="9"/>
      <c r="AS273" s="8"/>
      <c r="AT273" s="9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8"/>
      <c r="BX273" s="9"/>
      <c r="BY273" s="9"/>
      <c r="BZ273" s="9"/>
      <c r="CA273" s="33"/>
      <c r="CB273" s="85" t="str">
        <f t="shared" si="3"/>
        <v/>
      </c>
      <c r="CC273" s="86" t="str">
        <f t="shared" si="4"/>
        <v/>
      </c>
      <c r="CD273" s="86" t="str">
        <f t="shared" si="5"/>
        <v/>
      </c>
      <c r="CE273" s="86" t="str">
        <f t="shared" si="6"/>
        <v/>
      </c>
      <c r="CF273" s="86" t="str">
        <f t="shared" si="7"/>
        <v/>
      </c>
      <c r="CG273" s="86" t="str">
        <f t="shared" si="8"/>
        <v/>
      </c>
      <c r="CH273" s="86" t="str">
        <f t="shared" si="9"/>
        <v/>
      </c>
      <c r="CI273" s="86" t="str">
        <f t="shared" si="10"/>
        <v/>
      </c>
      <c r="CJ273" s="86" t="str">
        <f t="shared" si="11"/>
        <v/>
      </c>
      <c r="CK273" s="86" t="str">
        <f t="shared" si="12"/>
        <v/>
      </c>
      <c r="CL273" s="86" t="str">
        <f t="shared" si="13"/>
        <v/>
      </c>
      <c r="CM273" s="87" t="str">
        <f t="shared" si="14"/>
        <v/>
      </c>
      <c r="CN273" s="88" t="str">
        <f t="shared" si="26"/>
        <v/>
      </c>
      <c r="CO273" s="88" t="str">
        <f t="shared" si="15"/>
        <v/>
      </c>
      <c r="CP273" s="88" t="str">
        <f t="shared" si="16"/>
        <v/>
      </c>
      <c r="CQ273" s="88" t="str">
        <f t="shared" si="17"/>
        <v/>
      </c>
      <c r="CR273" s="88" t="str">
        <f t="shared" si="18"/>
        <v/>
      </c>
      <c r="CS273" s="88" t="str">
        <f t="shared" si="19"/>
        <v/>
      </c>
      <c r="CT273" s="88" t="str">
        <f t="shared" si="20"/>
        <v/>
      </c>
      <c r="CU273" s="88" t="str">
        <f t="shared" si="21"/>
        <v/>
      </c>
      <c r="CV273" s="88" t="str">
        <f t="shared" si="22"/>
        <v/>
      </c>
      <c r="CW273" s="88" t="str">
        <f t="shared" si="23"/>
        <v/>
      </c>
      <c r="CX273" s="7"/>
      <c r="CY273" s="7"/>
      <c r="CZ273" s="7"/>
      <c r="DA273" s="8"/>
      <c r="DU273" s="104" t="str">
        <f t="shared" si="24"/>
        <v/>
      </c>
      <c r="DV273" s="93" t="str">
        <f>ABA!$A273</f>
        <v/>
      </c>
      <c r="DW273" s="82" t="str">
        <f t="shared" si="25"/>
        <v/>
      </c>
    </row>
    <row r="274" ht="15.75" customHeight="1">
      <c r="A274" s="85"/>
      <c r="B274" s="107"/>
      <c r="C274" s="98"/>
      <c r="D274" s="98"/>
      <c r="E274" s="99"/>
      <c r="F274" s="98"/>
      <c r="G274" s="98"/>
      <c r="H274" s="98"/>
      <c r="I274" s="99"/>
      <c r="J274" s="98"/>
      <c r="K274" s="98"/>
      <c r="L274" s="98"/>
      <c r="M274" s="99"/>
      <c r="N274" s="98"/>
      <c r="O274" s="98"/>
      <c r="P274" s="98"/>
      <c r="Q274" s="99"/>
      <c r="R274" s="98"/>
      <c r="S274" s="98"/>
      <c r="T274" s="98"/>
      <c r="U274" s="99"/>
      <c r="V274" s="98"/>
      <c r="W274" s="98"/>
      <c r="X274" s="98"/>
      <c r="Y274" s="100"/>
      <c r="Z274" s="98"/>
      <c r="AA274" s="98"/>
      <c r="AB274" s="98"/>
      <c r="AC274" s="99"/>
      <c r="AD274" s="98"/>
      <c r="AE274" s="98"/>
      <c r="AF274" s="98"/>
      <c r="AG274" s="99"/>
      <c r="AH274" s="98"/>
      <c r="AI274" s="98"/>
      <c r="AJ274" s="98"/>
      <c r="AK274" s="99"/>
      <c r="AL274" s="98"/>
      <c r="AM274" s="98"/>
      <c r="AN274" s="98"/>
      <c r="AO274" s="98"/>
      <c r="AP274" s="84" t="str">
        <f t="shared" si="2"/>
        <v/>
      </c>
      <c r="AQ274" s="9"/>
      <c r="AR274" s="9"/>
      <c r="AS274" s="8"/>
      <c r="AT274" s="9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8"/>
      <c r="BX274" s="9"/>
      <c r="BY274" s="9"/>
      <c r="BZ274" s="9"/>
      <c r="CA274" s="33"/>
      <c r="CB274" s="85" t="str">
        <f t="shared" si="3"/>
        <v/>
      </c>
      <c r="CC274" s="86" t="str">
        <f t="shared" si="4"/>
        <v/>
      </c>
      <c r="CD274" s="86" t="str">
        <f t="shared" si="5"/>
        <v/>
      </c>
      <c r="CE274" s="86" t="str">
        <f t="shared" si="6"/>
        <v/>
      </c>
      <c r="CF274" s="86" t="str">
        <f t="shared" si="7"/>
        <v/>
      </c>
      <c r="CG274" s="86" t="str">
        <f t="shared" si="8"/>
        <v/>
      </c>
      <c r="CH274" s="86" t="str">
        <f t="shared" si="9"/>
        <v/>
      </c>
      <c r="CI274" s="86" t="str">
        <f t="shared" si="10"/>
        <v/>
      </c>
      <c r="CJ274" s="86" t="str">
        <f t="shared" si="11"/>
        <v/>
      </c>
      <c r="CK274" s="86" t="str">
        <f t="shared" si="12"/>
        <v/>
      </c>
      <c r="CL274" s="86" t="str">
        <f t="shared" si="13"/>
        <v/>
      </c>
      <c r="CM274" s="87" t="str">
        <f t="shared" si="14"/>
        <v/>
      </c>
      <c r="CN274" s="88" t="str">
        <f t="shared" si="26"/>
        <v/>
      </c>
      <c r="CO274" s="88" t="str">
        <f t="shared" si="15"/>
        <v/>
      </c>
      <c r="CP274" s="88" t="str">
        <f t="shared" si="16"/>
        <v/>
      </c>
      <c r="CQ274" s="88" t="str">
        <f t="shared" si="17"/>
        <v/>
      </c>
      <c r="CR274" s="88" t="str">
        <f t="shared" si="18"/>
        <v/>
      </c>
      <c r="CS274" s="88" t="str">
        <f t="shared" si="19"/>
        <v/>
      </c>
      <c r="CT274" s="88" t="str">
        <f t="shared" si="20"/>
        <v/>
      </c>
      <c r="CU274" s="88" t="str">
        <f t="shared" si="21"/>
        <v/>
      </c>
      <c r="CV274" s="88" t="str">
        <f t="shared" si="22"/>
        <v/>
      </c>
      <c r="CW274" s="88" t="str">
        <f t="shared" si="23"/>
        <v/>
      </c>
      <c r="CX274" s="7"/>
      <c r="CY274" s="7"/>
      <c r="CZ274" s="7"/>
      <c r="DA274" s="8"/>
      <c r="DU274" s="93" t="str">
        <f t="shared" si="24"/>
        <v/>
      </c>
      <c r="DV274" s="104" t="str">
        <f>ABA!$A274</f>
        <v/>
      </c>
      <c r="DW274" s="98" t="str">
        <f t="shared" si="25"/>
        <v/>
      </c>
    </row>
    <row r="275" ht="15.75" customHeight="1">
      <c r="A275" s="78"/>
      <c r="B275" s="105"/>
      <c r="C275" s="82"/>
      <c r="D275" s="82"/>
      <c r="E275" s="83"/>
      <c r="F275" s="82"/>
      <c r="G275" s="82"/>
      <c r="H275" s="82"/>
      <c r="I275" s="83"/>
      <c r="J275" s="82"/>
      <c r="K275" s="82"/>
      <c r="L275" s="82"/>
      <c r="M275" s="83"/>
      <c r="N275" s="82"/>
      <c r="O275" s="82"/>
      <c r="P275" s="82"/>
      <c r="Q275" s="83"/>
      <c r="R275" s="82"/>
      <c r="S275" s="82"/>
      <c r="T275" s="82"/>
      <c r="U275" s="83"/>
      <c r="V275" s="82"/>
      <c r="W275" s="82"/>
      <c r="X275" s="82"/>
      <c r="Y275" s="83"/>
      <c r="Z275" s="82"/>
      <c r="AA275" s="82"/>
      <c r="AB275" s="82"/>
      <c r="AC275" s="83"/>
      <c r="AD275" s="82"/>
      <c r="AE275" s="82"/>
      <c r="AF275" s="82"/>
      <c r="AG275" s="83"/>
      <c r="AH275" s="82"/>
      <c r="AI275" s="82"/>
      <c r="AJ275" s="82"/>
      <c r="AK275" s="83"/>
      <c r="AL275" s="82"/>
      <c r="AM275" s="82"/>
      <c r="AN275" s="82"/>
      <c r="AO275" s="82"/>
      <c r="AP275" s="84" t="str">
        <f t="shared" si="2"/>
        <v/>
      </c>
      <c r="AQ275" s="9"/>
      <c r="AR275" s="9"/>
      <c r="AS275" s="8"/>
      <c r="AT275" s="9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8"/>
      <c r="BX275" s="9"/>
      <c r="BY275" s="9"/>
      <c r="BZ275" s="9"/>
      <c r="CA275" s="33"/>
      <c r="CB275" s="85" t="str">
        <f t="shared" si="3"/>
        <v/>
      </c>
      <c r="CC275" s="86" t="str">
        <f t="shared" si="4"/>
        <v/>
      </c>
      <c r="CD275" s="86" t="str">
        <f t="shared" si="5"/>
        <v/>
      </c>
      <c r="CE275" s="86" t="str">
        <f t="shared" si="6"/>
        <v/>
      </c>
      <c r="CF275" s="86" t="str">
        <f t="shared" si="7"/>
        <v/>
      </c>
      <c r="CG275" s="86" t="str">
        <f t="shared" si="8"/>
        <v/>
      </c>
      <c r="CH275" s="86" t="str">
        <f t="shared" si="9"/>
        <v/>
      </c>
      <c r="CI275" s="86" t="str">
        <f t="shared" si="10"/>
        <v/>
      </c>
      <c r="CJ275" s="86" t="str">
        <f t="shared" si="11"/>
        <v/>
      </c>
      <c r="CK275" s="86" t="str">
        <f t="shared" si="12"/>
        <v/>
      </c>
      <c r="CL275" s="86" t="str">
        <f t="shared" si="13"/>
        <v/>
      </c>
      <c r="CM275" s="87" t="str">
        <f t="shared" si="14"/>
        <v/>
      </c>
      <c r="CN275" s="88" t="str">
        <f t="shared" si="26"/>
        <v/>
      </c>
      <c r="CO275" s="88" t="str">
        <f t="shared" si="15"/>
        <v/>
      </c>
      <c r="CP275" s="88" t="str">
        <f t="shared" si="16"/>
        <v/>
      </c>
      <c r="CQ275" s="88" t="str">
        <f t="shared" si="17"/>
        <v/>
      </c>
      <c r="CR275" s="88" t="str">
        <f t="shared" si="18"/>
        <v/>
      </c>
      <c r="CS275" s="88" t="str">
        <f t="shared" si="19"/>
        <v/>
      </c>
      <c r="CT275" s="88" t="str">
        <f t="shared" si="20"/>
        <v/>
      </c>
      <c r="CU275" s="88" t="str">
        <f t="shared" si="21"/>
        <v/>
      </c>
      <c r="CV275" s="88" t="str">
        <f t="shared" si="22"/>
        <v/>
      </c>
      <c r="CW275" s="88" t="str">
        <f t="shared" si="23"/>
        <v/>
      </c>
      <c r="CX275" s="7"/>
      <c r="CY275" s="7"/>
      <c r="CZ275" s="7"/>
      <c r="DA275" s="8"/>
      <c r="DU275" s="104" t="str">
        <f t="shared" si="24"/>
        <v/>
      </c>
      <c r="DV275" s="93" t="str">
        <f>ABA!$A275</f>
        <v/>
      </c>
      <c r="DW275" s="82" t="str">
        <f t="shared" si="25"/>
        <v/>
      </c>
    </row>
    <row r="276" ht="15.75" customHeight="1">
      <c r="A276" s="85"/>
      <c r="B276" s="107"/>
      <c r="C276" s="98"/>
      <c r="D276" s="98"/>
      <c r="E276" s="99"/>
      <c r="F276" s="98"/>
      <c r="G276" s="98"/>
      <c r="H276" s="98"/>
      <c r="I276" s="99"/>
      <c r="J276" s="98"/>
      <c r="K276" s="98"/>
      <c r="L276" s="98"/>
      <c r="M276" s="99"/>
      <c r="N276" s="98"/>
      <c r="O276" s="98"/>
      <c r="P276" s="98"/>
      <c r="Q276" s="99"/>
      <c r="R276" s="98"/>
      <c r="S276" s="98"/>
      <c r="T276" s="98"/>
      <c r="U276" s="99"/>
      <c r="V276" s="98"/>
      <c r="W276" s="98"/>
      <c r="X276" s="98"/>
      <c r="Y276" s="100"/>
      <c r="Z276" s="98"/>
      <c r="AA276" s="98"/>
      <c r="AB276" s="98"/>
      <c r="AC276" s="99"/>
      <c r="AD276" s="98"/>
      <c r="AE276" s="98"/>
      <c r="AF276" s="98"/>
      <c r="AG276" s="99"/>
      <c r="AH276" s="98"/>
      <c r="AI276" s="98"/>
      <c r="AJ276" s="98"/>
      <c r="AK276" s="99"/>
      <c r="AL276" s="98"/>
      <c r="AM276" s="98"/>
      <c r="AN276" s="98"/>
      <c r="AO276" s="98"/>
      <c r="AP276" s="84" t="str">
        <f t="shared" si="2"/>
        <v/>
      </c>
      <c r="AQ276" s="9"/>
      <c r="AR276" s="9"/>
      <c r="AS276" s="8"/>
      <c r="AT276" s="9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8"/>
      <c r="BX276" s="9"/>
      <c r="BY276" s="9"/>
      <c r="BZ276" s="9"/>
      <c r="CA276" s="33"/>
      <c r="CB276" s="85" t="str">
        <f t="shared" si="3"/>
        <v/>
      </c>
      <c r="CC276" s="86" t="str">
        <f t="shared" si="4"/>
        <v/>
      </c>
      <c r="CD276" s="86" t="str">
        <f t="shared" si="5"/>
        <v/>
      </c>
      <c r="CE276" s="86" t="str">
        <f t="shared" si="6"/>
        <v/>
      </c>
      <c r="CF276" s="86" t="str">
        <f t="shared" si="7"/>
        <v/>
      </c>
      <c r="CG276" s="86" t="str">
        <f t="shared" si="8"/>
        <v/>
      </c>
      <c r="CH276" s="86" t="str">
        <f t="shared" si="9"/>
        <v/>
      </c>
      <c r="CI276" s="86" t="str">
        <f t="shared" si="10"/>
        <v/>
      </c>
      <c r="CJ276" s="86" t="str">
        <f t="shared" si="11"/>
        <v/>
      </c>
      <c r="CK276" s="86" t="str">
        <f t="shared" si="12"/>
        <v/>
      </c>
      <c r="CL276" s="86" t="str">
        <f t="shared" si="13"/>
        <v/>
      </c>
      <c r="CM276" s="87" t="str">
        <f t="shared" si="14"/>
        <v/>
      </c>
      <c r="CN276" s="88" t="str">
        <f t="shared" si="26"/>
        <v/>
      </c>
      <c r="CO276" s="88" t="str">
        <f t="shared" si="15"/>
        <v/>
      </c>
      <c r="CP276" s="88" t="str">
        <f t="shared" si="16"/>
        <v/>
      </c>
      <c r="CQ276" s="88" t="str">
        <f t="shared" si="17"/>
        <v/>
      </c>
      <c r="CR276" s="88" t="str">
        <f t="shared" si="18"/>
        <v/>
      </c>
      <c r="CS276" s="88" t="str">
        <f t="shared" si="19"/>
        <v/>
      </c>
      <c r="CT276" s="88" t="str">
        <f t="shared" si="20"/>
        <v/>
      </c>
      <c r="CU276" s="88" t="str">
        <f t="shared" si="21"/>
        <v/>
      </c>
      <c r="CV276" s="88" t="str">
        <f t="shared" si="22"/>
        <v/>
      </c>
      <c r="CW276" s="88" t="str">
        <f t="shared" si="23"/>
        <v/>
      </c>
      <c r="CX276" s="7"/>
      <c r="CY276" s="7"/>
      <c r="CZ276" s="7"/>
      <c r="DA276" s="8"/>
      <c r="DU276" s="93" t="str">
        <f t="shared" si="24"/>
        <v/>
      </c>
      <c r="DV276" s="104" t="str">
        <f>ABA!$A276</f>
        <v/>
      </c>
      <c r="DW276" s="98" t="str">
        <f t="shared" si="25"/>
        <v/>
      </c>
    </row>
    <row r="277" ht="15.75" customHeight="1">
      <c r="A277" s="78"/>
      <c r="B277" s="105"/>
      <c r="C277" s="82"/>
      <c r="D277" s="82"/>
      <c r="E277" s="83"/>
      <c r="F277" s="82"/>
      <c r="G277" s="82"/>
      <c r="H277" s="82"/>
      <c r="I277" s="83"/>
      <c r="J277" s="82"/>
      <c r="K277" s="82"/>
      <c r="L277" s="82"/>
      <c r="M277" s="83"/>
      <c r="N277" s="82"/>
      <c r="O277" s="82"/>
      <c r="P277" s="82"/>
      <c r="Q277" s="83"/>
      <c r="R277" s="82"/>
      <c r="S277" s="82"/>
      <c r="T277" s="82"/>
      <c r="U277" s="83"/>
      <c r="V277" s="82"/>
      <c r="W277" s="82"/>
      <c r="X277" s="82"/>
      <c r="Y277" s="83"/>
      <c r="Z277" s="82"/>
      <c r="AA277" s="82"/>
      <c r="AB277" s="82"/>
      <c r="AC277" s="83"/>
      <c r="AD277" s="82"/>
      <c r="AE277" s="82"/>
      <c r="AF277" s="82"/>
      <c r="AG277" s="83"/>
      <c r="AH277" s="82"/>
      <c r="AI277" s="82"/>
      <c r="AJ277" s="82"/>
      <c r="AK277" s="83"/>
      <c r="AL277" s="82"/>
      <c r="AM277" s="82"/>
      <c r="AN277" s="82"/>
      <c r="AO277" s="82"/>
      <c r="AP277" s="84" t="str">
        <f t="shared" si="2"/>
        <v/>
      </c>
      <c r="AQ277" s="9"/>
      <c r="AR277" s="9"/>
      <c r="AS277" s="8"/>
      <c r="AT277" s="9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8"/>
      <c r="BX277" s="9"/>
      <c r="BY277" s="9"/>
      <c r="BZ277" s="9"/>
      <c r="CA277" s="33"/>
      <c r="CB277" s="85" t="str">
        <f t="shared" si="3"/>
        <v/>
      </c>
      <c r="CC277" s="86" t="str">
        <f t="shared" si="4"/>
        <v/>
      </c>
      <c r="CD277" s="86" t="str">
        <f t="shared" si="5"/>
        <v/>
      </c>
      <c r="CE277" s="86" t="str">
        <f t="shared" si="6"/>
        <v/>
      </c>
      <c r="CF277" s="86" t="str">
        <f t="shared" si="7"/>
        <v/>
      </c>
      <c r="CG277" s="86" t="str">
        <f t="shared" si="8"/>
        <v/>
      </c>
      <c r="CH277" s="86" t="str">
        <f t="shared" si="9"/>
        <v/>
      </c>
      <c r="CI277" s="86" t="str">
        <f t="shared" si="10"/>
        <v/>
      </c>
      <c r="CJ277" s="86" t="str">
        <f t="shared" si="11"/>
        <v/>
      </c>
      <c r="CK277" s="86" t="str">
        <f t="shared" si="12"/>
        <v/>
      </c>
      <c r="CL277" s="86" t="str">
        <f t="shared" si="13"/>
        <v/>
      </c>
      <c r="CM277" s="87" t="str">
        <f t="shared" si="14"/>
        <v/>
      </c>
      <c r="CN277" s="88" t="str">
        <f t="shared" si="26"/>
        <v/>
      </c>
      <c r="CO277" s="88" t="str">
        <f t="shared" si="15"/>
        <v/>
      </c>
      <c r="CP277" s="88" t="str">
        <f t="shared" si="16"/>
        <v/>
      </c>
      <c r="CQ277" s="88" t="str">
        <f t="shared" si="17"/>
        <v/>
      </c>
      <c r="CR277" s="88" t="str">
        <f t="shared" si="18"/>
        <v/>
      </c>
      <c r="CS277" s="88" t="str">
        <f t="shared" si="19"/>
        <v/>
      </c>
      <c r="CT277" s="88" t="str">
        <f t="shared" si="20"/>
        <v/>
      </c>
      <c r="CU277" s="88" t="str">
        <f t="shared" si="21"/>
        <v/>
      </c>
      <c r="CV277" s="88" t="str">
        <f t="shared" si="22"/>
        <v/>
      </c>
      <c r="CW277" s="88" t="str">
        <f t="shared" si="23"/>
        <v/>
      </c>
      <c r="CX277" s="7"/>
      <c r="CY277" s="7"/>
      <c r="CZ277" s="7"/>
      <c r="DA277" s="8"/>
      <c r="DU277" s="104" t="str">
        <f t="shared" si="24"/>
        <v/>
      </c>
      <c r="DV277" s="93" t="str">
        <f>ABA!$A277</f>
        <v/>
      </c>
      <c r="DW277" s="82" t="str">
        <f t="shared" si="25"/>
        <v/>
      </c>
    </row>
    <row r="278" ht="15.75" customHeight="1">
      <c r="A278" s="85"/>
      <c r="B278" s="107"/>
      <c r="C278" s="98"/>
      <c r="D278" s="98"/>
      <c r="E278" s="99"/>
      <c r="F278" s="98"/>
      <c r="G278" s="98"/>
      <c r="H278" s="98"/>
      <c r="I278" s="99"/>
      <c r="J278" s="98"/>
      <c r="K278" s="98"/>
      <c r="L278" s="98"/>
      <c r="M278" s="99"/>
      <c r="N278" s="98"/>
      <c r="O278" s="98"/>
      <c r="P278" s="98"/>
      <c r="Q278" s="99"/>
      <c r="R278" s="98"/>
      <c r="S278" s="98"/>
      <c r="T278" s="98"/>
      <c r="U278" s="99"/>
      <c r="V278" s="98"/>
      <c r="W278" s="98"/>
      <c r="X278" s="98"/>
      <c r="Y278" s="100"/>
      <c r="Z278" s="98"/>
      <c r="AA278" s="98"/>
      <c r="AB278" s="98"/>
      <c r="AC278" s="99"/>
      <c r="AD278" s="98"/>
      <c r="AE278" s="98"/>
      <c r="AF278" s="98"/>
      <c r="AG278" s="99"/>
      <c r="AH278" s="98"/>
      <c r="AI278" s="98"/>
      <c r="AJ278" s="98"/>
      <c r="AK278" s="99"/>
      <c r="AL278" s="98"/>
      <c r="AM278" s="98"/>
      <c r="AN278" s="98"/>
      <c r="AO278" s="98"/>
      <c r="AP278" s="84" t="str">
        <f t="shared" si="2"/>
        <v/>
      </c>
      <c r="AQ278" s="9"/>
      <c r="AR278" s="9"/>
      <c r="AS278" s="8"/>
      <c r="AT278" s="9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8"/>
      <c r="BX278" s="9"/>
      <c r="BY278" s="9"/>
      <c r="BZ278" s="9"/>
      <c r="CA278" s="33"/>
      <c r="CB278" s="85" t="str">
        <f t="shared" si="3"/>
        <v/>
      </c>
      <c r="CC278" s="86" t="str">
        <f t="shared" si="4"/>
        <v/>
      </c>
      <c r="CD278" s="86" t="str">
        <f t="shared" si="5"/>
        <v/>
      </c>
      <c r="CE278" s="86" t="str">
        <f t="shared" si="6"/>
        <v/>
      </c>
      <c r="CF278" s="86" t="str">
        <f t="shared" si="7"/>
        <v/>
      </c>
      <c r="CG278" s="86" t="str">
        <f t="shared" si="8"/>
        <v/>
      </c>
      <c r="CH278" s="86" t="str">
        <f t="shared" si="9"/>
        <v/>
      </c>
      <c r="CI278" s="86" t="str">
        <f t="shared" si="10"/>
        <v/>
      </c>
      <c r="CJ278" s="86" t="str">
        <f t="shared" si="11"/>
        <v/>
      </c>
      <c r="CK278" s="86" t="str">
        <f t="shared" si="12"/>
        <v/>
      </c>
      <c r="CL278" s="86" t="str">
        <f t="shared" si="13"/>
        <v/>
      </c>
      <c r="CM278" s="87" t="str">
        <f t="shared" si="14"/>
        <v/>
      </c>
      <c r="CN278" s="88" t="str">
        <f t="shared" si="26"/>
        <v/>
      </c>
      <c r="CO278" s="88" t="str">
        <f t="shared" si="15"/>
        <v/>
      </c>
      <c r="CP278" s="88" t="str">
        <f t="shared" si="16"/>
        <v/>
      </c>
      <c r="CQ278" s="88" t="str">
        <f t="shared" si="17"/>
        <v/>
      </c>
      <c r="CR278" s="88" t="str">
        <f t="shared" si="18"/>
        <v/>
      </c>
      <c r="CS278" s="88" t="str">
        <f t="shared" si="19"/>
        <v/>
      </c>
      <c r="CT278" s="88" t="str">
        <f t="shared" si="20"/>
        <v/>
      </c>
      <c r="CU278" s="88" t="str">
        <f t="shared" si="21"/>
        <v/>
      </c>
      <c r="CV278" s="88" t="str">
        <f t="shared" si="22"/>
        <v/>
      </c>
      <c r="CW278" s="88" t="str">
        <f t="shared" si="23"/>
        <v/>
      </c>
      <c r="CX278" s="7"/>
      <c r="CY278" s="7"/>
      <c r="CZ278" s="7"/>
      <c r="DA278" s="8"/>
      <c r="DU278" s="93" t="str">
        <f t="shared" si="24"/>
        <v/>
      </c>
      <c r="DV278" s="104" t="str">
        <f>ABA!$A278</f>
        <v/>
      </c>
      <c r="DW278" s="98" t="str">
        <f t="shared" si="25"/>
        <v/>
      </c>
    </row>
    <row r="279" ht="15.75" customHeight="1">
      <c r="A279" s="78"/>
      <c r="B279" s="105"/>
      <c r="C279" s="82"/>
      <c r="D279" s="82"/>
      <c r="E279" s="83"/>
      <c r="F279" s="82"/>
      <c r="G279" s="82"/>
      <c r="H279" s="82"/>
      <c r="I279" s="83"/>
      <c r="J279" s="82"/>
      <c r="K279" s="82"/>
      <c r="L279" s="82"/>
      <c r="M279" s="83"/>
      <c r="N279" s="82"/>
      <c r="O279" s="82"/>
      <c r="P279" s="82"/>
      <c r="Q279" s="83"/>
      <c r="R279" s="82"/>
      <c r="S279" s="82"/>
      <c r="T279" s="82"/>
      <c r="U279" s="83"/>
      <c r="V279" s="82"/>
      <c r="W279" s="82"/>
      <c r="X279" s="82"/>
      <c r="Y279" s="83"/>
      <c r="Z279" s="82"/>
      <c r="AA279" s="82"/>
      <c r="AB279" s="82"/>
      <c r="AC279" s="83"/>
      <c r="AD279" s="82"/>
      <c r="AE279" s="82"/>
      <c r="AF279" s="82"/>
      <c r="AG279" s="83"/>
      <c r="AH279" s="82"/>
      <c r="AI279" s="82"/>
      <c r="AJ279" s="82"/>
      <c r="AK279" s="83"/>
      <c r="AL279" s="82"/>
      <c r="AM279" s="82"/>
      <c r="AN279" s="82"/>
      <c r="AO279" s="82"/>
      <c r="AP279" s="84" t="str">
        <f t="shared" si="2"/>
        <v/>
      </c>
      <c r="AQ279" s="9"/>
      <c r="AR279" s="9"/>
      <c r="AS279" s="8"/>
      <c r="AT279" s="9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8"/>
      <c r="BX279" s="9"/>
      <c r="BY279" s="9"/>
      <c r="BZ279" s="9"/>
      <c r="CA279" s="33"/>
      <c r="CB279" s="85" t="str">
        <f t="shared" si="3"/>
        <v/>
      </c>
      <c r="CC279" s="86" t="str">
        <f t="shared" si="4"/>
        <v/>
      </c>
      <c r="CD279" s="86" t="str">
        <f t="shared" si="5"/>
        <v/>
      </c>
      <c r="CE279" s="86" t="str">
        <f t="shared" si="6"/>
        <v/>
      </c>
      <c r="CF279" s="86" t="str">
        <f t="shared" si="7"/>
        <v/>
      </c>
      <c r="CG279" s="86" t="str">
        <f t="shared" si="8"/>
        <v/>
      </c>
      <c r="CH279" s="86" t="str">
        <f t="shared" si="9"/>
        <v/>
      </c>
      <c r="CI279" s="86" t="str">
        <f t="shared" si="10"/>
        <v/>
      </c>
      <c r="CJ279" s="86" t="str">
        <f t="shared" si="11"/>
        <v/>
      </c>
      <c r="CK279" s="86" t="str">
        <f t="shared" si="12"/>
        <v/>
      </c>
      <c r="CL279" s="86" t="str">
        <f t="shared" si="13"/>
        <v/>
      </c>
      <c r="CM279" s="87" t="str">
        <f t="shared" si="14"/>
        <v/>
      </c>
      <c r="CN279" s="88" t="str">
        <f t="shared" si="26"/>
        <v/>
      </c>
      <c r="CO279" s="88" t="str">
        <f t="shared" si="15"/>
        <v/>
      </c>
      <c r="CP279" s="88" t="str">
        <f t="shared" si="16"/>
        <v/>
      </c>
      <c r="CQ279" s="88" t="str">
        <f t="shared" si="17"/>
        <v/>
      </c>
      <c r="CR279" s="88" t="str">
        <f t="shared" si="18"/>
        <v/>
      </c>
      <c r="CS279" s="88" t="str">
        <f t="shared" si="19"/>
        <v/>
      </c>
      <c r="CT279" s="88" t="str">
        <f t="shared" si="20"/>
        <v/>
      </c>
      <c r="CU279" s="88" t="str">
        <f t="shared" si="21"/>
        <v/>
      </c>
      <c r="CV279" s="88" t="str">
        <f t="shared" si="22"/>
        <v/>
      </c>
      <c r="CW279" s="88" t="str">
        <f t="shared" si="23"/>
        <v/>
      </c>
      <c r="CX279" s="7"/>
      <c r="CY279" s="7"/>
      <c r="CZ279" s="7"/>
      <c r="DA279" s="8"/>
      <c r="DU279" s="104" t="str">
        <f t="shared" si="24"/>
        <v/>
      </c>
      <c r="DV279" s="93" t="str">
        <f>ABA!$A279</f>
        <v/>
      </c>
      <c r="DW279" s="82" t="str">
        <f t="shared" si="25"/>
        <v/>
      </c>
    </row>
    <row r="280" ht="15.75" customHeight="1">
      <c r="A280" s="85"/>
      <c r="B280" s="107"/>
      <c r="C280" s="98"/>
      <c r="D280" s="98"/>
      <c r="E280" s="99"/>
      <c r="F280" s="98"/>
      <c r="G280" s="98"/>
      <c r="H280" s="98"/>
      <c r="I280" s="99"/>
      <c r="J280" s="98"/>
      <c r="K280" s="98"/>
      <c r="L280" s="98"/>
      <c r="M280" s="99"/>
      <c r="N280" s="98"/>
      <c r="O280" s="98"/>
      <c r="P280" s="98"/>
      <c r="Q280" s="99"/>
      <c r="R280" s="98"/>
      <c r="S280" s="98"/>
      <c r="T280" s="98"/>
      <c r="U280" s="99"/>
      <c r="V280" s="98"/>
      <c r="W280" s="98"/>
      <c r="X280" s="98"/>
      <c r="Y280" s="100"/>
      <c r="Z280" s="98"/>
      <c r="AA280" s="98"/>
      <c r="AB280" s="98"/>
      <c r="AC280" s="99"/>
      <c r="AD280" s="98"/>
      <c r="AE280" s="98"/>
      <c r="AF280" s="98"/>
      <c r="AG280" s="99"/>
      <c r="AH280" s="98"/>
      <c r="AI280" s="98"/>
      <c r="AJ280" s="98"/>
      <c r="AK280" s="99"/>
      <c r="AL280" s="98"/>
      <c r="AM280" s="98"/>
      <c r="AN280" s="98"/>
      <c r="AO280" s="98"/>
      <c r="AP280" s="84" t="str">
        <f t="shared" si="2"/>
        <v/>
      </c>
      <c r="AQ280" s="9"/>
      <c r="AR280" s="9"/>
      <c r="AS280" s="8"/>
      <c r="AT280" s="9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8"/>
      <c r="BX280" s="9"/>
      <c r="BY280" s="9"/>
      <c r="BZ280" s="9"/>
      <c r="CA280" s="33"/>
      <c r="CB280" s="85" t="str">
        <f t="shared" si="3"/>
        <v/>
      </c>
      <c r="CC280" s="86" t="str">
        <f t="shared" si="4"/>
        <v/>
      </c>
      <c r="CD280" s="86" t="str">
        <f t="shared" si="5"/>
        <v/>
      </c>
      <c r="CE280" s="86" t="str">
        <f t="shared" si="6"/>
        <v/>
      </c>
      <c r="CF280" s="86" t="str">
        <f t="shared" si="7"/>
        <v/>
      </c>
      <c r="CG280" s="86" t="str">
        <f t="shared" si="8"/>
        <v/>
      </c>
      <c r="CH280" s="86" t="str">
        <f t="shared" si="9"/>
        <v/>
      </c>
      <c r="CI280" s="86" t="str">
        <f t="shared" si="10"/>
        <v/>
      </c>
      <c r="CJ280" s="86" t="str">
        <f t="shared" si="11"/>
        <v/>
      </c>
      <c r="CK280" s="86" t="str">
        <f t="shared" si="12"/>
        <v/>
      </c>
      <c r="CL280" s="86" t="str">
        <f t="shared" si="13"/>
        <v/>
      </c>
      <c r="CM280" s="87" t="str">
        <f t="shared" si="14"/>
        <v/>
      </c>
      <c r="CN280" s="88" t="str">
        <f t="shared" si="26"/>
        <v/>
      </c>
      <c r="CO280" s="88" t="str">
        <f t="shared" si="15"/>
        <v/>
      </c>
      <c r="CP280" s="88" t="str">
        <f t="shared" si="16"/>
        <v/>
      </c>
      <c r="CQ280" s="88" t="str">
        <f t="shared" si="17"/>
        <v/>
      </c>
      <c r="CR280" s="88" t="str">
        <f t="shared" si="18"/>
        <v/>
      </c>
      <c r="CS280" s="88" t="str">
        <f t="shared" si="19"/>
        <v/>
      </c>
      <c r="CT280" s="88" t="str">
        <f t="shared" si="20"/>
        <v/>
      </c>
      <c r="CU280" s="88" t="str">
        <f t="shared" si="21"/>
        <v/>
      </c>
      <c r="CV280" s="88" t="str">
        <f t="shared" si="22"/>
        <v/>
      </c>
      <c r="CW280" s="88" t="str">
        <f t="shared" si="23"/>
        <v/>
      </c>
      <c r="CX280" s="7"/>
      <c r="CY280" s="7"/>
      <c r="CZ280" s="7"/>
      <c r="DA280" s="8"/>
      <c r="DU280" s="93" t="str">
        <f t="shared" si="24"/>
        <v/>
      </c>
      <c r="DV280" s="104" t="str">
        <f>ABA!$A280</f>
        <v/>
      </c>
      <c r="DW280" s="98" t="str">
        <f t="shared" si="25"/>
        <v/>
      </c>
    </row>
    <row r="281" ht="15.75" customHeight="1">
      <c r="A281" s="78"/>
      <c r="B281" s="105"/>
      <c r="C281" s="82"/>
      <c r="D281" s="82"/>
      <c r="E281" s="83"/>
      <c r="F281" s="82"/>
      <c r="G281" s="82"/>
      <c r="H281" s="82"/>
      <c r="I281" s="83"/>
      <c r="J281" s="82"/>
      <c r="K281" s="82"/>
      <c r="L281" s="82"/>
      <c r="M281" s="83"/>
      <c r="N281" s="82"/>
      <c r="O281" s="82"/>
      <c r="P281" s="82"/>
      <c r="Q281" s="83"/>
      <c r="R281" s="82"/>
      <c r="S281" s="82"/>
      <c r="T281" s="82"/>
      <c r="U281" s="83"/>
      <c r="V281" s="82"/>
      <c r="W281" s="82"/>
      <c r="X281" s="82"/>
      <c r="Y281" s="83"/>
      <c r="Z281" s="82"/>
      <c r="AA281" s="82"/>
      <c r="AB281" s="82"/>
      <c r="AC281" s="83"/>
      <c r="AD281" s="82"/>
      <c r="AE281" s="82"/>
      <c r="AF281" s="82"/>
      <c r="AG281" s="83"/>
      <c r="AH281" s="82"/>
      <c r="AI281" s="82"/>
      <c r="AJ281" s="82"/>
      <c r="AK281" s="83"/>
      <c r="AL281" s="82"/>
      <c r="AM281" s="82"/>
      <c r="AN281" s="82"/>
      <c r="AO281" s="82"/>
      <c r="AP281" s="84" t="str">
        <f t="shared" si="2"/>
        <v/>
      </c>
      <c r="AQ281" s="9"/>
      <c r="AR281" s="9"/>
      <c r="AS281" s="8"/>
      <c r="AT281" s="9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8"/>
      <c r="BX281" s="9"/>
      <c r="BY281" s="9"/>
      <c r="BZ281" s="9"/>
      <c r="CA281" s="33"/>
      <c r="CB281" s="85" t="str">
        <f t="shared" si="3"/>
        <v/>
      </c>
      <c r="CC281" s="86" t="str">
        <f t="shared" si="4"/>
        <v/>
      </c>
      <c r="CD281" s="86" t="str">
        <f t="shared" si="5"/>
        <v/>
      </c>
      <c r="CE281" s="86" t="str">
        <f t="shared" si="6"/>
        <v/>
      </c>
      <c r="CF281" s="86" t="str">
        <f t="shared" si="7"/>
        <v/>
      </c>
      <c r="CG281" s="86" t="str">
        <f t="shared" si="8"/>
        <v/>
      </c>
      <c r="CH281" s="86" t="str">
        <f t="shared" si="9"/>
        <v/>
      </c>
      <c r="CI281" s="86" t="str">
        <f t="shared" si="10"/>
        <v/>
      </c>
      <c r="CJ281" s="86" t="str">
        <f t="shared" si="11"/>
        <v/>
      </c>
      <c r="CK281" s="86" t="str">
        <f t="shared" si="12"/>
        <v/>
      </c>
      <c r="CL281" s="86" t="str">
        <f t="shared" si="13"/>
        <v/>
      </c>
      <c r="CM281" s="87" t="str">
        <f t="shared" si="14"/>
        <v/>
      </c>
      <c r="CN281" s="88" t="str">
        <f t="shared" si="26"/>
        <v/>
      </c>
      <c r="CO281" s="88" t="str">
        <f t="shared" si="15"/>
        <v/>
      </c>
      <c r="CP281" s="88" t="str">
        <f t="shared" si="16"/>
        <v/>
      </c>
      <c r="CQ281" s="88" t="str">
        <f t="shared" si="17"/>
        <v/>
      </c>
      <c r="CR281" s="88" t="str">
        <f t="shared" si="18"/>
        <v/>
      </c>
      <c r="CS281" s="88" t="str">
        <f t="shared" si="19"/>
        <v/>
      </c>
      <c r="CT281" s="88" t="str">
        <f t="shared" si="20"/>
        <v/>
      </c>
      <c r="CU281" s="88" t="str">
        <f t="shared" si="21"/>
        <v/>
      </c>
      <c r="CV281" s="88" t="str">
        <f t="shared" si="22"/>
        <v/>
      </c>
      <c r="CW281" s="88" t="str">
        <f t="shared" si="23"/>
        <v/>
      </c>
      <c r="CX281" s="7"/>
      <c r="CY281" s="7"/>
      <c r="CZ281" s="7"/>
      <c r="DA281" s="8"/>
      <c r="DU281" s="104" t="str">
        <f t="shared" si="24"/>
        <v/>
      </c>
      <c r="DV281" s="93" t="str">
        <f>ABA!$A281</f>
        <v/>
      </c>
      <c r="DW281" s="82" t="str">
        <f t="shared" si="25"/>
        <v/>
      </c>
    </row>
    <row r="282" ht="15.75" customHeight="1">
      <c r="A282" s="85"/>
      <c r="B282" s="107"/>
      <c r="C282" s="98"/>
      <c r="D282" s="98"/>
      <c r="E282" s="99"/>
      <c r="F282" s="98"/>
      <c r="G282" s="98"/>
      <c r="H282" s="98"/>
      <c r="I282" s="99"/>
      <c r="J282" s="98"/>
      <c r="K282" s="98"/>
      <c r="L282" s="98"/>
      <c r="M282" s="99"/>
      <c r="N282" s="98"/>
      <c r="O282" s="98"/>
      <c r="P282" s="98"/>
      <c r="Q282" s="99"/>
      <c r="R282" s="98"/>
      <c r="S282" s="98"/>
      <c r="T282" s="98"/>
      <c r="U282" s="99"/>
      <c r="V282" s="98"/>
      <c r="W282" s="98"/>
      <c r="X282" s="98"/>
      <c r="Y282" s="100"/>
      <c r="Z282" s="98"/>
      <c r="AA282" s="98"/>
      <c r="AB282" s="98"/>
      <c r="AC282" s="99"/>
      <c r="AD282" s="98"/>
      <c r="AE282" s="98"/>
      <c r="AF282" s="98"/>
      <c r="AG282" s="99"/>
      <c r="AH282" s="98"/>
      <c r="AI282" s="98"/>
      <c r="AJ282" s="98"/>
      <c r="AK282" s="99"/>
      <c r="AL282" s="98"/>
      <c r="AM282" s="98"/>
      <c r="AN282" s="98"/>
      <c r="AO282" s="98"/>
      <c r="AP282" s="84" t="str">
        <f t="shared" si="2"/>
        <v/>
      </c>
      <c r="AQ282" s="9"/>
      <c r="AR282" s="9"/>
      <c r="AS282" s="8"/>
      <c r="AT282" s="9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8"/>
      <c r="BX282" s="9"/>
      <c r="BY282" s="9"/>
      <c r="BZ282" s="9"/>
      <c r="CA282" s="33"/>
      <c r="CB282" s="85" t="str">
        <f t="shared" si="3"/>
        <v/>
      </c>
      <c r="CC282" s="86" t="str">
        <f t="shared" si="4"/>
        <v/>
      </c>
      <c r="CD282" s="86" t="str">
        <f t="shared" si="5"/>
        <v/>
      </c>
      <c r="CE282" s="86" t="str">
        <f t="shared" si="6"/>
        <v/>
      </c>
      <c r="CF282" s="86" t="str">
        <f t="shared" si="7"/>
        <v/>
      </c>
      <c r="CG282" s="86" t="str">
        <f t="shared" si="8"/>
        <v/>
      </c>
      <c r="CH282" s="86" t="str">
        <f t="shared" si="9"/>
        <v/>
      </c>
      <c r="CI282" s="86" t="str">
        <f t="shared" si="10"/>
        <v/>
      </c>
      <c r="CJ282" s="86" t="str">
        <f t="shared" si="11"/>
        <v/>
      </c>
      <c r="CK282" s="86" t="str">
        <f t="shared" si="12"/>
        <v/>
      </c>
      <c r="CL282" s="86" t="str">
        <f t="shared" si="13"/>
        <v/>
      </c>
      <c r="CM282" s="87" t="str">
        <f t="shared" si="14"/>
        <v/>
      </c>
      <c r="CN282" s="88" t="str">
        <f t="shared" si="26"/>
        <v/>
      </c>
      <c r="CO282" s="88" t="str">
        <f t="shared" si="15"/>
        <v/>
      </c>
      <c r="CP282" s="88" t="str">
        <f t="shared" si="16"/>
        <v/>
      </c>
      <c r="CQ282" s="88" t="str">
        <f t="shared" si="17"/>
        <v/>
      </c>
      <c r="CR282" s="88" t="str">
        <f t="shared" si="18"/>
        <v/>
      </c>
      <c r="CS282" s="88" t="str">
        <f t="shared" si="19"/>
        <v/>
      </c>
      <c r="CT282" s="88" t="str">
        <f t="shared" si="20"/>
        <v/>
      </c>
      <c r="CU282" s="88" t="str">
        <f t="shared" si="21"/>
        <v/>
      </c>
      <c r="CV282" s="88" t="str">
        <f t="shared" si="22"/>
        <v/>
      </c>
      <c r="CW282" s="88" t="str">
        <f t="shared" si="23"/>
        <v/>
      </c>
      <c r="CX282" s="7"/>
      <c r="CY282" s="7"/>
      <c r="CZ282" s="7"/>
      <c r="DA282" s="8"/>
      <c r="DU282" s="93" t="str">
        <f t="shared" si="24"/>
        <v/>
      </c>
      <c r="DV282" s="104" t="str">
        <f>ABA!$A282</f>
        <v/>
      </c>
      <c r="DW282" s="98" t="str">
        <f t="shared" si="25"/>
        <v/>
      </c>
    </row>
    <row r="283" ht="15.75" customHeight="1">
      <c r="A283" s="78"/>
      <c r="B283" s="105"/>
      <c r="C283" s="82"/>
      <c r="D283" s="82"/>
      <c r="E283" s="83"/>
      <c r="F283" s="82"/>
      <c r="G283" s="82"/>
      <c r="H283" s="82"/>
      <c r="I283" s="83"/>
      <c r="J283" s="82"/>
      <c r="K283" s="82"/>
      <c r="L283" s="82"/>
      <c r="M283" s="83"/>
      <c r="N283" s="82"/>
      <c r="O283" s="82"/>
      <c r="P283" s="82"/>
      <c r="Q283" s="83"/>
      <c r="R283" s="82"/>
      <c r="S283" s="82"/>
      <c r="T283" s="82"/>
      <c r="U283" s="83"/>
      <c r="V283" s="82"/>
      <c r="W283" s="82"/>
      <c r="X283" s="82"/>
      <c r="Y283" s="83"/>
      <c r="Z283" s="82"/>
      <c r="AA283" s="82"/>
      <c r="AB283" s="82"/>
      <c r="AC283" s="83"/>
      <c r="AD283" s="82"/>
      <c r="AE283" s="82"/>
      <c r="AF283" s="82"/>
      <c r="AG283" s="83"/>
      <c r="AH283" s="82"/>
      <c r="AI283" s="82"/>
      <c r="AJ283" s="82"/>
      <c r="AK283" s="83"/>
      <c r="AL283" s="82"/>
      <c r="AM283" s="82"/>
      <c r="AN283" s="82"/>
      <c r="AO283" s="82"/>
      <c r="AP283" s="84" t="str">
        <f t="shared" si="2"/>
        <v/>
      </c>
      <c r="AQ283" s="9"/>
      <c r="AR283" s="9"/>
      <c r="AS283" s="8"/>
      <c r="AT283" s="9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8"/>
      <c r="BX283" s="9"/>
      <c r="BY283" s="9"/>
      <c r="BZ283" s="9"/>
      <c r="CA283" s="33"/>
      <c r="CB283" s="85" t="str">
        <f t="shared" si="3"/>
        <v/>
      </c>
      <c r="CC283" s="86" t="str">
        <f t="shared" si="4"/>
        <v/>
      </c>
      <c r="CD283" s="86" t="str">
        <f t="shared" si="5"/>
        <v/>
      </c>
      <c r="CE283" s="86" t="str">
        <f t="shared" si="6"/>
        <v/>
      </c>
      <c r="CF283" s="86" t="str">
        <f t="shared" si="7"/>
        <v/>
      </c>
      <c r="CG283" s="86" t="str">
        <f t="shared" si="8"/>
        <v/>
      </c>
      <c r="CH283" s="86" t="str">
        <f t="shared" si="9"/>
        <v/>
      </c>
      <c r="CI283" s="86" t="str">
        <f t="shared" si="10"/>
        <v/>
      </c>
      <c r="CJ283" s="86" t="str">
        <f t="shared" si="11"/>
        <v/>
      </c>
      <c r="CK283" s="86" t="str">
        <f t="shared" si="12"/>
        <v/>
      </c>
      <c r="CL283" s="86" t="str">
        <f t="shared" si="13"/>
        <v/>
      </c>
      <c r="CM283" s="87" t="str">
        <f t="shared" si="14"/>
        <v/>
      </c>
      <c r="CN283" s="88" t="str">
        <f t="shared" si="26"/>
        <v/>
      </c>
      <c r="CO283" s="88" t="str">
        <f t="shared" si="15"/>
        <v/>
      </c>
      <c r="CP283" s="88" t="str">
        <f t="shared" si="16"/>
        <v/>
      </c>
      <c r="CQ283" s="88" t="str">
        <f t="shared" si="17"/>
        <v/>
      </c>
      <c r="CR283" s="88" t="str">
        <f t="shared" si="18"/>
        <v/>
      </c>
      <c r="CS283" s="88" t="str">
        <f t="shared" si="19"/>
        <v/>
      </c>
      <c r="CT283" s="88" t="str">
        <f t="shared" si="20"/>
        <v/>
      </c>
      <c r="CU283" s="88" t="str">
        <f t="shared" si="21"/>
        <v/>
      </c>
      <c r="CV283" s="88" t="str">
        <f t="shared" si="22"/>
        <v/>
      </c>
      <c r="CW283" s="88" t="str">
        <f t="shared" si="23"/>
        <v/>
      </c>
      <c r="CX283" s="7"/>
      <c r="CY283" s="7"/>
      <c r="CZ283" s="7"/>
      <c r="DA283" s="8"/>
      <c r="DU283" s="93" t="str">
        <f t="shared" si="24"/>
        <v/>
      </c>
      <c r="DV283" s="93" t="str">
        <f>ABA!$A283</f>
        <v/>
      </c>
      <c r="DW283" s="82" t="str">
        <f t="shared" si="25"/>
        <v/>
      </c>
    </row>
    <row r="284" ht="15.75" customHeight="1">
      <c r="A284" s="85"/>
      <c r="B284" s="107"/>
      <c r="C284" s="98"/>
      <c r="D284" s="98"/>
      <c r="E284" s="99"/>
      <c r="F284" s="98"/>
      <c r="G284" s="98"/>
      <c r="H284" s="98"/>
      <c r="I284" s="99"/>
      <c r="J284" s="98"/>
      <c r="K284" s="98"/>
      <c r="L284" s="98"/>
      <c r="M284" s="99"/>
      <c r="N284" s="98"/>
      <c r="O284" s="98"/>
      <c r="P284" s="98"/>
      <c r="Q284" s="99"/>
      <c r="R284" s="98"/>
      <c r="S284" s="98"/>
      <c r="T284" s="98"/>
      <c r="U284" s="99"/>
      <c r="V284" s="98"/>
      <c r="W284" s="98"/>
      <c r="X284" s="98"/>
      <c r="Y284" s="100"/>
      <c r="Z284" s="98"/>
      <c r="AA284" s="98"/>
      <c r="AB284" s="98"/>
      <c r="AC284" s="99"/>
      <c r="AD284" s="98"/>
      <c r="AE284" s="98"/>
      <c r="AF284" s="98"/>
      <c r="AG284" s="99"/>
      <c r="AH284" s="98"/>
      <c r="AI284" s="98"/>
      <c r="AJ284" s="98"/>
      <c r="AK284" s="99"/>
      <c r="AL284" s="98"/>
      <c r="AM284" s="98"/>
      <c r="AN284" s="98"/>
      <c r="AO284" s="98"/>
      <c r="AP284" s="84" t="str">
        <f t="shared" si="2"/>
        <v/>
      </c>
      <c r="AQ284" s="9"/>
      <c r="AR284" s="9"/>
      <c r="AS284" s="8"/>
      <c r="AT284" s="9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8"/>
      <c r="BX284" s="9"/>
      <c r="BY284" s="9"/>
      <c r="BZ284" s="9"/>
      <c r="CA284" s="33"/>
      <c r="CB284" s="85" t="str">
        <f t="shared" si="3"/>
        <v/>
      </c>
      <c r="CC284" s="86" t="str">
        <f t="shared" si="4"/>
        <v/>
      </c>
      <c r="CD284" s="86" t="str">
        <f t="shared" si="5"/>
        <v/>
      </c>
      <c r="CE284" s="86" t="str">
        <f t="shared" si="6"/>
        <v/>
      </c>
      <c r="CF284" s="86" t="str">
        <f t="shared" si="7"/>
        <v/>
      </c>
      <c r="CG284" s="86" t="str">
        <f t="shared" si="8"/>
        <v/>
      </c>
      <c r="CH284" s="86" t="str">
        <f t="shared" si="9"/>
        <v/>
      </c>
      <c r="CI284" s="86" t="str">
        <f t="shared" si="10"/>
        <v/>
      </c>
      <c r="CJ284" s="86" t="str">
        <f t="shared" si="11"/>
        <v/>
      </c>
      <c r="CK284" s="86" t="str">
        <f t="shared" si="12"/>
        <v/>
      </c>
      <c r="CL284" s="86" t="str">
        <f t="shared" si="13"/>
        <v/>
      </c>
      <c r="CM284" s="87" t="str">
        <f t="shared" si="14"/>
        <v/>
      </c>
      <c r="CN284" s="88" t="str">
        <f t="shared" si="26"/>
        <v/>
      </c>
      <c r="CO284" s="88" t="str">
        <f t="shared" si="15"/>
        <v/>
      </c>
      <c r="CP284" s="88" t="str">
        <f t="shared" si="16"/>
        <v/>
      </c>
      <c r="CQ284" s="88" t="str">
        <f t="shared" si="17"/>
        <v/>
      </c>
      <c r="CR284" s="88" t="str">
        <f t="shared" si="18"/>
        <v/>
      </c>
      <c r="CS284" s="88" t="str">
        <f t="shared" si="19"/>
        <v/>
      </c>
      <c r="CT284" s="88" t="str">
        <f t="shared" si="20"/>
        <v/>
      </c>
      <c r="CU284" s="88" t="str">
        <f t="shared" si="21"/>
        <v/>
      </c>
      <c r="CV284" s="88" t="str">
        <f t="shared" si="22"/>
        <v/>
      </c>
      <c r="CW284" s="88" t="str">
        <f t="shared" si="23"/>
        <v/>
      </c>
      <c r="CX284" s="7"/>
      <c r="CY284" s="7"/>
      <c r="CZ284" s="7"/>
      <c r="DA284" s="8"/>
      <c r="DU284" s="104" t="str">
        <f t="shared" si="24"/>
        <v/>
      </c>
      <c r="DV284" s="104" t="str">
        <f>ABA!$A284</f>
        <v/>
      </c>
      <c r="DW284" s="98" t="str">
        <f t="shared" si="25"/>
        <v/>
      </c>
    </row>
    <row r="285" ht="15.75" customHeight="1">
      <c r="A285" s="78"/>
      <c r="B285" s="105"/>
      <c r="C285" s="82"/>
      <c r="D285" s="82"/>
      <c r="E285" s="83"/>
      <c r="F285" s="82"/>
      <c r="G285" s="82"/>
      <c r="H285" s="82"/>
      <c r="I285" s="83"/>
      <c r="J285" s="82"/>
      <c r="K285" s="82"/>
      <c r="L285" s="82"/>
      <c r="M285" s="83"/>
      <c r="N285" s="82"/>
      <c r="O285" s="82"/>
      <c r="P285" s="82"/>
      <c r="Q285" s="83"/>
      <c r="R285" s="82"/>
      <c r="S285" s="82"/>
      <c r="T285" s="82"/>
      <c r="U285" s="83"/>
      <c r="V285" s="82"/>
      <c r="W285" s="82"/>
      <c r="X285" s="82"/>
      <c r="Y285" s="83"/>
      <c r="Z285" s="82"/>
      <c r="AA285" s="82"/>
      <c r="AB285" s="82"/>
      <c r="AC285" s="83"/>
      <c r="AD285" s="82"/>
      <c r="AE285" s="82"/>
      <c r="AF285" s="82"/>
      <c r="AG285" s="83"/>
      <c r="AH285" s="82"/>
      <c r="AI285" s="82"/>
      <c r="AJ285" s="82"/>
      <c r="AK285" s="83"/>
      <c r="AL285" s="82"/>
      <c r="AM285" s="82"/>
      <c r="AN285" s="82"/>
      <c r="AO285" s="82"/>
      <c r="AP285" s="84" t="str">
        <f t="shared" si="2"/>
        <v/>
      </c>
      <c r="AQ285" s="9"/>
      <c r="AR285" s="9"/>
      <c r="AS285" s="8"/>
      <c r="AT285" s="9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8"/>
      <c r="BX285" s="9"/>
      <c r="BY285" s="9"/>
      <c r="BZ285" s="9"/>
      <c r="CA285" s="33"/>
      <c r="CB285" s="85" t="str">
        <f t="shared" si="3"/>
        <v/>
      </c>
      <c r="CC285" s="86" t="str">
        <f t="shared" si="4"/>
        <v/>
      </c>
      <c r="CD285" s="86" t="str">
        <f t="shared" si="5"/>
        <v/>
      </c>
      <c r="CE285" s="86" t="str">
        <f t="shared" si="6"/>
        <v/>
      </c>
      <c r="CF285" s="86" t="str">
        <f t="shared" si="7"/>
        <v/>
      </c>
      <c r="CG285" s="86" t="str">
        <f t="shared" si="8"/>
        <v/>
      </c>
      <c r="CH285" s="86" t="str">
        <f t="shared" si="9"/>
        <v/>
      </c>
      <c r="CI285" s="86" t="str">
        <f t="shared" si="10"/>
        <v/>
      </c>
      <c r="CJ285" s="86" t="str">
        <f t="shared" si="11"/>
        <v/>
      </c>
      <c r="CK285" s="86" t="str">
        <f t="shared" si="12"/>
        <v/>
      </c>
      <c r="CL285" s="86" t="str">
        <f t="shared" si="13"/>
        <v/>
      </c>
      <c r="CM285" s="87" t="str">
        <f t="shared" si="14"/>
        <v/>
      </c>
      <c r="CN285" s="88" t="str">
        <f t="shared" si="26"/>
        <v/>
      </c>
      <c r="CO285" s="88" t="str">
        <f t="shared" si="15"/>
        <v/>
      </c>
      <c r="CP285" s="88" t="str">
        <f t="shared" si="16"/>
        <v/>
      </c>
      <c r="CQ285" s="88" t="str">
        <f t="shared" si="17"/>
        <v/>
      </c>
      <c r="CR285" s="88" t="str">
        <f t="shared" si="18"/>
        <v/>
      </c>
      <c r="CS285" s="88" t="str">
        <f t="shared" si="19"/>
        <v/>
      </c>
      <c r="CT285" s="88" t="str">
        <f t="shared" si="20"/>
        <v/>
      </c>
      <c r="CU285" s="88" t="str">
        <f t="shared" si="21"/>
        <v/>
      </c>
      <c r="CV285" s="88" t="str">
        <f t="shared" si="22"/>
        <v/>
      </c>
      <c r="CW285" s="88" t="str">
        <f t="shared" si="23"/>
        <v/>
      </c>
      <c r="CX285" s="7"/>
      <c r="CY285" s="7"/>
      <c r="CZ285" s="7"/>
      <c r="DA285" s="8"/>
      <c r="DU285" s="93" t="str">
        <f t="shared" si="24"/>
        <v/>
      </c>
      <c r="DV285" s="93" t="str">
        <f>ABA!$A285</f>
        <v/>
      </c>
      <c r="DW285" s="82" t="str">
        <f t="shared" si="25"/>
        <v/>
      </c>
    </row>
    <row r="286" ht="15.75" customHeight="1">
      <c r="A286" s="85"/>
      <c r="B286" s="107"/>
      <c r="C286" s="98"/>
      <c r="D286" s="98"/>
      <c r="E286" s="99"/>
      <c r="F286" s="98"/>
      <c r="G286" s="98"/>
      <c r="H286" s="98"/>
      <c r="I286" s="99"/>
      <c r="J286" s="98"/>
      <c r="K286" s="98"/>
      <c r="L286" s="98"/>
      <c r="M286" s="99"/>
      <c r="N286" s="98"/>
      <c r="O286" s="98"/>
      <c r="P286" s="98"/>
      <c r="Q286" s="99"/>
      <c r="R286" s="98"/>
      <c r="S286" s="98"/>
      <c r="T286" s="98"/>
      <c r="U286" s="99"/>
      <c r="V286" s="98"/>
      <c r="W286" s="98"/>
      <c r="X286" s="98"/>
      <c r="Y286" s="100"/>
      <c r="Z286" s="98"/>
      <c r="AA286" s="98"/>
      <c r="AB286" s="98"/>
      <c r="AC286" s="99"/>
      <c r="AD286" s="98"/>
      <c r="AE286" s="98"/>
      <c r="AF286" s="98"/>
      <c r="AG286" s="99"/>
      <c r="AH286" s="98"/>
      <c r="AI286" s="98"/>
      <c r="AJ286" s="98"/>
      <c r="AK286" s="99"/>
      <c r="AL286" s="98"/>
      <c r="AM286" s="98"/>
      <c r="AN286" s="98"/>
      <c r="AO286" s="98"/>
      <c r="AP286" s="84" t="str">
        <f t="shared" si="2"/>
        <v/>
      </c>
      <c r="AQ286" s="9"/>
      <c r="AR286" s="9"/>
      <c r="AS286" s="8"/>
      <c r="AT286" s="9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8"/>
      <c r="BX286" s="9"/>
      <c r="BY286" s="9"/>
      <c r="BZ286" s="9"/>
      <c r="CA286" s="33"/>
      <c r="CB286" s="85" t="str">
        <f t="shared" si="3"/>
        <v/>
      </c>
      <c r="CC286" s="86" t="str">
        <f t="shared" si="4"/>
        <v/>
      </c>
      <c r="CD286" s="86" t="str">
        <f t="shared" si="5"/>
        <v/>
      </c>
      <c r="CE286" s="86" t="str">
        <f t="shared" si="6"/>
        <v/>
      </c>
      <c r="CF286" s="86" t="str">
        <f t="shared" si="7"/>
        <v/>
      </c>
      <c r="CG286" s="86" t="str">
        <f t="shared" si="8"/>
        <v/>
      </c>
      <c r="CH286" s="86" t="str">
        <f t="shared" si="9"/>
        <v/>
      </c>
      <c r="CI286" s="86" t="str">
        <f t="shared" si="10"/>
        <v/>
      </c>
      <c r="CJ286" s="86" t="str">
        <f t="shared" si="11"/>
        <v/>
      </c>
      <c r="CK286" s="86" t="str">
        <f t="shared" si="12"/>
        <v/>
      </c>
      <c r="CL286" s="86" t="str">
        <f t="shared" si="13"/>
        <v/>
      </c>
      <c r="CM286" s="87" t="str">
        <f t="shared" si="14"/>
        <v/>
      </c>
      <c r="CN286" s="88" t="str">
        <f t="shared" si="26"/>
        <v/>
      </c>
      <c r="CO286" s="88" t="str">
        <f t="shared" si="15"/>
        <v/>
      </c>
      <c r="CP286" s="88" t="str">
        <f t="shared" si="16"/>
        <v/>
      </c>
      <c r="CQ286" s="88" t="str">
        <f t="shared" si="17"/>
        <v/>
      </c>
      <c r="CR286" s="88" t="str">
        <f t="shared" si="18"/>
        <v/>
      </c>
      <c r="CS286" s="88" t="str">
        <f t="shared" si="19"/>
        <v/>
      </c>
      <c r="CT286" s="88" t="str">
        <f t="shared" si="20"/>
        <v/>
      </c>
      <c r="CU286" s="88" t="str">
        <f t="shared" si="21"/>
        <v/>
      </c>
      <c r="CV286" s="88" t="str">
        <f t="shared" si="22"/>
        <v/>
      </c>
      <c r="CW286" s="88" t="str">
        <f t="shared" si="23"/>
        <v/>
      </c>
      <c r="CX286" s="7"/>
      <c r="CY286" s="7"/>
      <c r="CZ286" s="7"/>
      <c r="DA286" s="8"/>
      <c r="DU286" s="104" t="str">
        <f t="shared" si="24"/>
        <v/>
      </c>
      <c r="DV286" s="104" t="str">
        <f>ABA!$A286</f>
        <v/>
      </c>
      <c r="DW286" s="98" t="str">
        <f t="shared" si="25"/>
        <v/>
      </c>
    </row>
    <row r="287" ht="15.75" customHeight="1">
      <c r="A287" s="78"/>
      <c r="B287" s="105"/>
      <c r="C287" s="82"/>
      <c r="D287" s="82"/>
      <c r="E287" s="83"/>
      <c r="F287" s="82"/>
      <c r="G287" s="82"/>
      <c r="H287" s="82"/>
      <c r="I287" s="83"/>
      <c r="J287" s="82"/>
      <c r="K287" s="82"/>
      <c r="L287" s="82"/>
      <c r="M287" s="83"/>
      <c r="N287" s="82"/>
      <c r="O287" s="82"/>
      <c r="P287" s="82"/>
      <c r="Q287" s="83"/>
      <c r="R287" s="82"/>
      <c r="S287" s="82"/>
      <c r="T287" s="82"/>
      <c r="U287" s="83"/>
      <c r="V287" s="82"/>
      <c r="W287" s="82"/>
      <c r="X287" s="82"/>
      <c r="Y287" s="83"/>
      <c r="Z287" s="82"/>
      <c r="AA287" s="82"/>
      <c r="AB287" s="82"/>
      <c r="AC287" s="83"/>
      <c r="AD287" s="82"/>
      <c r="AE287" s="82"/>
      <c r="AF287" s="82"/>
      <c r="AG287" s="83"/>
      <c r="AH287" s="82"/>
      <c r="AI287" s="82"/>
      <c r="AJ287" s="82"/>
      <c r="AK287" s="83"/>
      <c r="AL287" s="82"/>
      <c r="AM287" s="82"/>
      <c r="AN287" s="82"/>
      <c r="AO287" s="82"/>
      <c r="AP287" s="84" t="str">
        <f t="shared" si="2"/>
        <v/>
      </c>
      <c r="AQ287" s="9"/>
      <c r="AR287" s="9"/>
      <c r="AS287" s="8"/>
      <c r="AT287" s="9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8"/>
      <c r="BX287" s="9"/>
      <c r="BY287" s="9"/>
      <c r="BZ287" s="9"/>
      <c r="CA287" s="33"/>
      <c r="CB287" s="85" t="str">
        <f t="shared" si="3"/>
        <v/>
      </c>
      <c r="CC287" s="86" t="str">
        <f t="shared" si="4"/>
        <v/>
      </c>
      <c r="CD287" s="86" t="str">
        <f t="shared" si="5"/>
        <v/>
      </c>
      <c r="CE287" s="86" t="str">
        <f t="shared" si="6"/>
        <v/>
      </c>
      <c r="CF287" s="86" t="str">
        <f t="shared" si="7"/>
        <v/>
      </c>
      <c r="CG287" s="86" t="str">
        <f t="shared" si="8"/>
        <v/>
      </c>
      <c r="CH287" s="86" t="str">
        <f t="shared" si="9"/>
        <v/>
      </c>
      <c r="CI287" s="86" t="str">
        <f t="shared" si="10"/>
        <v/>
      </c>
      <c r="CJ287" s="86" t="str">
        <f t="shared" si="11"/>
        <v/>
      </c>
      <c r="CK287" s="86" t="str">
        <f t="shared" si="12"/>
        <v/>
      </c>
      <c r="CL287" s="86" t="str">
        <f t="shared" si="13"/>
        <v/>
      </c>
      <c r="CM287" s="87" t="str">
        <f t="shared" si="14"/>
        <v/>
      </c>
      <c r="CN287" s="88" t="str">
        <f t="shared" si="26"/>
        <v/>
      </c>
      <c r="CO287" s="88" t="str">
        <f t="shared" si="15"/>
        <v/>
      </c>
      <c r="CP287" s="88" t="str">
        <f t="shared" si="16"/>
        <v/>
      </c>
      <c r="CQ287" s="88" t="str">
        <f t="shared" si="17"/>
        <v/>
      </c>
      <c r="CR287" s="88" t="str">
        <f t="shared" si="18"/>
        <v/>
      </c>
      <c r="CS287" s="88" t="str">
        <f t="shared" si="19"/>
        <v/>
      </c>
      <c r="CT287" s="88" t="str">
        <f t="shared" si="20"/>
        <v/>
      </c>
      <c r="CU287" s="88" t="str">
        <f t="shared" si="21"/>
        <v/>
      </c>
      <c r="CV287" s="88" t="str">
        <f t="shared" si="22"/>
        <v/>
      </c>
      <c r="CW287" s="88" t="str">
        <f t="shared" si="23"/>
        <v/>
      </c>
      <c r="CX287" s="7"/>
      <c r="CY287" s="7"/>
      <c r="CZ287" s="7"/>
      <c r="DA287" s="8"/>
      <c r="DU287" s="93" t="str">
        <f t="shared" si="24"/>
        <v/>
      </c>
      <c r="DV287" s="93" t="str">
        <f>ABA!$A287</f>
        <v/>
      </c>
      <c r="DW287" s="82" t="str">
        <f t="shared" si="25"/>
        <v/>
      </c>
    </row>
    <row r="288" ht="15.75" customHeight="1">
      <c r="A288" s="85"/>
      <c r="B288" s="107"/>
      <c r="C288" s="98"/>
      <c r="D288" s="98"/>
      <c r="E288" s="99"/>
      <c r="F288" s="98"/>
      <c r="G288" s="98"/>
      <c r="H288" s="98"/>
      <c r="I288" s="99"/>
      <c r="J288" s="98"/>
      <c r="K288" s="98"/>
      <c r="L288" s="98"/>
      <c r="M288" s="99"/>
      <c r="N288" s="98"/>
      <c r="O288" s="98"/>
      <c r="P288" s="98"/>
      <c r="Q288" s="99"/>
      <c r="R288" s="98"/>
      <c r="S288" s="98"/>
      <c r="T288" s="98"/>
      <c r="U288" s="99"/>
      <c r="V288" s="98"/>
      <c r="W288" s="98"/>
      <c r="X288" s="98"/>
      <c r="Y288" s="100"/>
      <c r="Z288" s="98"/>
      <c r="AA288" s="98"/>
      <c r="AB288" s="98"/>
      <c r="AC288" s="99"/>
      <c r="AD288" s="98"/>
      <c r="AE288" s="98"/>
      <c r="AF288" s="98"/>
      <c r="AG288" s="99"/>
      <c r="AH288" s="98"/>
      <c r="AI288" s="98"/>
      <c r="AJ288" s="98"/>
      <c r="AK288" s="99"/>
      <c r="AL288" s="98"/>
      <c r="AM288" s="98"/>
      <c r="AN288" s="98"/>
      <c r="AO288" s="98"/>
      <c r="AP288" s="84" t="str">
        <f t="shared" si="2"/>
        <v/>
      </c>
      <c r="AQ288" s="9"/>
      <c r="AR288" s="9"/>
      <c r="AS288" s="8"/>
      <c r="AT288" s="9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8"/>
      <c r="BX288" s="9"/>
      <c r="BY288" s="9"/>
      <c r="BZ288" s="9"/>
      <c r="CA288" s="33"/>
      <c r="CB288" s="85" t="str">
        <f t="shared" si="3"/>
        <v/>
      </c>
      <c r="CC288" s="86" t="str">
        <f t="shared" si="4"/>
        <v/>
      </c>
      <c r="CD288" s="86" t="str">
        <f t="shared" si="5"/>
        <v/>
      </c>
      <c r="CE288" s="86" t="str">
        <f t="shared" si="6"/>
        <v/>
      </c>
      <c r="CF288" s="86" t="str">
        <f t="shared" si="7"/>
        <v/>
      </c>
      <c r="CG288" s="86" t="str">
        <f t="shared" si="8"/>
        <v/>
      </c>
      <c r="CH288" s="86" t="str">
        <f t="shared" si="9"/>
        <v/>
      </c>
      <c r="CI288" s="86" t="str">
        <f t="shared" si="10"/>
        <v/>
      </c>
      <c r="CJ288" s="86" t="str">
        <f t="shared" si="11"/>
        <v/>
      </c>
      <c r="CK288" s="86" t="str">
        <f t="shared" si="12"/>
        <v/>
      </c>
      <c r="CL288" s="86" t="str">
        <f t="shared" si="13"/>
        <v/>
      </c>
      <c r="CM288" s="87" t="str">
        <f t="shared" si="14"/>
        <v/>
      </c>
      <c r="CN288" s="88" t="str">
        <f t="shared" si="26"/>
        <v/>
      </c>
      <c r="CO288" s="88" t="str">
        <f t="shared" si="15"/>
        <v/>
      </c>
      <c r="CP288" s="88" t="str">
        <f t="shared" si="16"/>
        <v/>
      </c>
      <c r="CQ288" s="88" t="str">
        <f t="shared" si="17"/>
        <v/>
      </c>
      <c r="CR288" s="88" t="str">
        <f t="shared" si="18"/>
        <v/>
      </c>
      <c r="CS288" s="88" t="str">
        <f t="shared" si="19"/>
        <v/>
      </c>
      <c r="CT288" s="88" t="str">
        <f t="shared" si="20"/>
        <v/>
      </c>
      <c r="CU288" s="88" t="str">
        <f t="shared" si="21"/>
        <v/>
      </c>
      <c r="CV288" s="88" t="str">
        <f t="shared" si="22"/>
        <v/>
      </c>
      <c r="CW288" s="88" t="str">
        <f t="shared" si="23"/>
        <v/>
      </c>
      <c r="CX288" s="7"/>
      <c r="CY288" s="7"/>
      <c r="CZ288" s="7"/>
      <c r="DA288" s="8"/>
      <c r="DU288" s="104" t="str">
        <f t="shared" si="24"/>
        <v/>
      </c>
      <c r="DV288" s="104" t="str">
        <f>ABA!$A288</f>
        <v/>
      </c>
      <c r="DW288" s="98" t="str">
        <f t="shared" si="25"/>
        <v/>
      </c>
    </row>
    <row r="289" ht="15.75" customHeight="1">
      <c r="A289" s="78"/>
      <c r="B289" s="105"/>
      <c r="C289" s="82"/>
      <c r="D289" s="82"/>
      <c r="E289" s="83"/>
      <c r="F289" s="82"/>
      <c r="G289" s="82"/>
      <c r="H289" s="82"/>
      <c r="I289" s="83"/>
      <c r="J289" s="82"/>
      <c r="K289" s="82"/>
      <c r="L289" s="82"/>
      <c r="M289" s="83"/>
      <c r="N289" s="82"/>
      <c r="O289" s="82"/>
      <c r="P289" s="82"/>
      <c r="Q289" s="83"/>
      <c r="R289" s="82"/>
      <c r="S289" s="82"/>
      <c r="T289" s="82"/>
      <c r="U289" s="83"/>
      <c r="V289" s="82"/>
      <c r="W289" s="82"/>
      <c r="X289" s="82"/>
      <c r="Y289" s="83"/>
      <c r="Z289" s="82"/>
      <c r="AA289" s="82"/>
      <c r="AB289" s="82"/>
      <c r="AC289" s="83"/>
      <c r="AD289" s="82"/>
      <c r="AE289" s="82"/>
      <c r="AF289" s="82"/>
      <c r="AG289" s="83"/>
      <c r="AH289" s="82"/>
      <c r="AI289" s="82"/>
      <c r="AJ289" s="82"/>
      <c r="AK289" s="83"/>
      <c r="AL289" s="82"/>
      <c r="AM289" s="82"/>
      <c r="AN289" s="82"/>
      <c r="AO289" s="82"/>
      <c r="AP289" s="84" t="str">
        <f t="shared" si="2"/>
        <v/>
      </c>
      <c r="AQ289" s="9"/>
      <c r="AR289" s="9"/>
      <c r="AS289" s="8"/>
      <c r="AT289" s="9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8"/>
      <c r="BX289" s="9"/>
      <c r="BY289" s="9"/>
      <c r="BZ289" s="9"/>
      <c r="CA289" s="33"/>
      <c r="CB289" s="85" t="str">
        <f t="shared" si="3"/>
        <v/>
      </c>
      <c r="CC289" s="86" t="str">
        <f t="shared" si="4"/>
        <v/>
      </c>
      <c r="CD289" s="86" t="str">
        <f t="shared" si="5"/>
        <v/>
      </c>
      <c r="CE289" s="86" t="str">
        <f t="shared" si="6"/>
        <v/>
      </c>
      <c r="CF289" s="86" t="str">
        <f t="shared" si="7"/>
        <v/>
      </c>
      <c r="CG289" s="86" t="str">
        <f t="shared" si="8"/>
        <v/>
      </c>
      <c r="CH289" s="86" t="str">
        <f t="shared" si="9"/>
        <v/>
      </c>
      <c r="CI289" s="86" t="str">
        <f t="shared" si="10"/>
        <v/>
      </c>
      <c r="CJ289" s="86" t="str">
        <f t="shared" si="11"/>
        <v/>
      </c>
      <c r="CK289" s="86" t="str">
        <f t="shared" si="12"/>
        <v/>
      </c>
      <c r="CL289" s="86" t="str">
        <f t="shared" si="13"/>
        <v/>
      </c>
      <c r="CM289" s="87" t="str">
        <f t="shared" si="14"/>
        <v/>
      </c>
      <c r="CN289" s="88" t="str">
        <f t="shared" si="26"/>
        <v/>
      </c>
      <c r="CO289" s="88" t="str">
        <f t="shared" si="15"/>
        <v/>
      </c>
      <c r="CP289" s="88" t="str">
        <f t="shared" si="16"/>
        <v/>
      </c>
      <c r="CQ289" s="88" t="str">
        <f t="shared" si="17"/>
        <v/>
      </c>
      <c r="CR289" s="88" t="str">
        <f t="shared" si="18"/>
        <v/>
      </c>
      <c r="CS289" s="88" t="str">
        <f t="shared" si="19"/>
        <v/>
      </c>
      <c r="CT289" s="88" t="str">
        <f t="shared" si="20"/>
        <v/>
      </c>
      <c r="CU289" s="88" t="str">
        <f t="shared" si="21"/>
        <v/>
      </c>
      <c r="CV289" s="88" t="str">
        <f t="shared" si="22"/>
        <v/>
      </c>
      <c r="CW289" s="88" t="str">
        <f t="shared" si="23"/>
        <v/>
      </c>
      <c r="CX289" s="7"/>
      <c r="CY289" s="7"/>
      <c r="CZ289" s="7"/>
      <c r="DA289" s="8"/>
      <c r="DU289" s="93" t="str">
        <f t="shared" si="24"/>
        <v/>
      </c>
      <c r="DV289" s="93" t="str">
        <f>ABA!$A289</f>
        <v/>
      </c>
      <c r="DW289" s="82" t="str">
        <f t="shared" si="25"/>
        <v/>
      </c>
    </row>
    <row r="290" ht="15.75" customHeight="1">
      <c r="A290" s="85"/>
      <c r="B290" s="107"/>
      <c r="C290" s="98"/>
      <c r="D290" s="98"/>
      <c r="E290" s="99"/>
      <c r="F290" s="98"/>
      <c r="G290" s="98"/>
      <c r="H290" s="98"/>
      <c r="I290" s="99"/>
      <c r="J290" s="98"/>
      <c r="K290" s="98"/>
      <c r="L290" s="98"/>
      <c r="M290" s="99"/>
      <c r="N290" s="98"/>
      <c r="O290" s="98"/>
      <c r="P290" s="98"/>
      <c r="Q290" s="99"/>
      <c r="R290" s="98"/>
      <c r="S290" s="98"/>
      <c r="T290" s="98"/>
      <c r="U290" s="99"/>
      <c r="V290" s="98"/>
      <c r="W290" s="98"/>
      <c r="X290" s="98"/>
      <c r="Y290" s="100"/>
      <c r="Z290" s="98"/>
      <c r="AA290" s="98"/>
      <c r="AB290" s="98"/>
      <c r="AC290" s="99"/>
      <c r="AD290" s="98"/>
      <c r="AE290" s="98"/>
      <c r="AF290" s="98"/>
      <c r="AG290" s="99"/>
      <c r="AH290" s="98"/>
      <c r="AI290" s="98"/>
      <c r="AJ290" s="98"/>
      <c r="AK290" s="99"/>
      <c r="AL290" s="98"/>
      <c r="AM290" s="98"/>
      <c r="AN290" s="98"/>
      <c r="AO290" s="98"/>
      <c r="AP290" s="84" t="str">
        <f t="shared" si="2"/>
        <v/>
      </c>
      <c r="AQ290" s="9"/>
      <c r="AR290" s="9"/>
      <c r="AS290" s="8"/>
      <c r="AT290" s="9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8"/>
      <c r="BX290" s="9"/>
      <c r="BY290" s="9"/>
      <c r="BZ290" s="9"/>
      <c r="CA290" s="33"/>
      <c r="CB290" s="85" t="str">
        <f t="shared" si="3"/>
        <v/>
      </c>
      <c r="CC290" s="86" t="str">
        <f t="shared" si="4"/>
        <v/>
      </c>
      <c r="CD290" s="86" t="str">
        <f t="shared" si="5"/>
        <v/>
      </c>
      <c r="CE290" s="86" t="str">
        <f t="shared" si="6"/>
        <v/>
      </c>
      <c r="CF290" s="86" t="str">
        <f t="shared" si="7"/>
        <v/>
      </c>
      <c r="CG290" s="86" t="str">
        <f t="shared" si="8"/>
        <v/>
      </c>
      <c r="CH290" s="86" t="str">
        <f t="shared" si="9"/>
        <v/>
      </c>
      <c r="CI290" s="86" t="str">
        <f t="shared" si="10"/>
        <v/>
      </c>
      <c r="CJ290" s="86" t="str">
        <f t="shared" si="11"/>
        <v/>
      </c>
      <c r="CK290" s="86" t="str">
        <f t="shared" si="12"/>
        <v/>
      </c>
      <c r="CL290" s="86" t="str">
        <f t="shared" si="13"/>
        <v/>
      </c>
      <c r="CM290" s="87" t="str">
        <f t="shared" si="14"/>
        <v/>
      </c>
      <c r="CN290" s="88" t="str">
        <f t="shared" si="26"/>
        <v/>
      </c>
      <c r="CO290" s="88" t="str">
        <f t="shared" si="15"/>
        <v/>
      </c>
      <c r="CP290" s="88" t="str">
        <f t="shared" si="16"/>
        <v/>
      </c>
      <c r="CQ290" s="88" t="str">
        <f t="shared" si="17"/>
        <v/>
      </c>
      <c r="CR290" s="88" t="str">
        <f t="shared" si="18"/>
        <v/>
      </c>
      <c r="CS290" s="88" t="str">
        <f t="shared" si="19"/>
        <v/>
      </c>
      <c r="CT290" s="88" t="str">
        <f t="shared" si="20"/>
        <v/>
      </c>
      <c r="CU290" s="88" t="str">
        <f t="shared" si="21"/>
        <v/>
      </c>
      <c r="CV290" s="88" t="str">
        <f t="shared" si="22"/>
        <v/>
      </c>
      <c r="CW290" s="88" t="str">
        <f t="shared" si="23"/>
        <v/>
      </c>
      <c r="CX290" s="7"/>
      <c r="CY290" s="7"/>
      <c r="CZ290" s="7"/>
      <c r="DA290" s="8"/>
      <c r="DU290" s="104" t="str">
        <f t="shared" si="24"/>
        <v/>
      </c>
      <c r="DV290" s="104" t="str">
        <f>ABA!$A290</f>
        <v/>
      </c>
      <c r="DW290" s="98" t="str">
        <f t="shared" si="25"/>
        <v/>
      </c>
    </row>
    <row r="291" ht="15.75" customHeight="1">
      <c r="A291" s="78"/>
      <c r="B291" s="105"/>
      <c r="C291" s="82"/>
      <c r="D291" s="82"/>
      <c r="E291" s="83"/>
      <c r="F291" s="82"/>
      <c r="G291" s="82"/>
      <c r="H291" s="82"/>
      <c r="I291" s="83"/>
      <c r="J291" s="82"/>
      <c r="K291" s="82"/>
      <c r="L291" s="82"/>
      <c r="M291" s="83"/>
      <c r="N291" s="82"/>
      <c r="O291" s="82"/>
      <c r="P291" s="82"/>
      <c r="Q291" s="83"/>
      <c r="R291" s="82"/>
      <c r="S291" s="82"/>
      <c r="T291" s="82"/>
      <c r="U291" s="83"/>
      <c r="V291" s="82"/>
      <c r="W291" s="82"/>
      <c r="X291" s="82"/>
      <c r="Y291" s="83"/>
      <c r="Z291" s="82"/>
      <c r="AA291" s="82"/>
      <c r="AB291" s="82"/>
      <c r="AC291" s="83"/>
      <c r="AD291" s="82"/>
      <c r="AE291" s="82"/>
      <c r="AF291" s="82"/>
      <c r="AG291" s="83"/>
      <c r="AH291" s="82"/>
      <c r="AI291" s="82"/>
      <c r="AJ291" s="82"/>
      <c r="AK291" s="83"/>
      <c r="AL291" s="82"/>
      <c r="AM291" s="82"/>
      <c r="AN291" s="82"/>
      <c r="AO291" s="82"/>
      <c r="AP291" s="84" t="str">
        <f t="shared" si="2"/>
        <v/>
      </c>
      <c r="AQ291" s="9"/>
      <c r="AR291" s="9"/>
      <c r="AS291" s="8"/>
      <c r="AT291" s="9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8"/>
      <c r="BX291" s="9"/>
      <c r="BY291" s="9"/>
      <c r="BZ291" s="9"/>
      <c r="CA291" s="33"/>
      <c r="CB291" s="85" t="str">
        <f t="shared" si="3"/>
        <v/>
      </c>
      <c r="CC291" s="86" t="str">
        <f t="shared" si="4"/>
        <v/>
      </c>
      <c r="CD291" s="86" t="str">
        <f t="shared" si="5"/>
        <v/>
      </c>
      <c r="CE291" s="86" t="str">
        <f t="shared" si="6"/>
        <v/>
      </c>
      <c r="CF291" s="86" t="str">
        <f t="shared" si="7"/>
        <v/>
      </c>
      <c r="CG291" s="86" t="str">
        <f t="shared" si="8"/>
        <v/>
      </c>
      <c r="CH291" s="86" t="str">
        <f t="shared" si="9"/>
        <v/>
      </c>
      <c r="CI291" s="86" t="str">
        <f t="shared" si="10"/>
        <v/>
      </c>
      <c r="CJ291" s="86" t="str">
        <f t="shared" si="11"/>
        <v/>
      </c>
      <c r="CK291" s="86" t="str">
        <f t="shared" si="12"/>
        <v/>
      </c>
      <c r="CL291" s="86" t="str">
        <f t="shared" si="13"/>
        <v/>
      </c>
      <c r="CM291" s="87" t="str">
        <f t="shared" si="14"/>
        <v/>
      </c>
      <c r="CN291" s="88" t="str">
        <f t="shared" si="26"/>
        <v/>
      </c>
      <c r="CO291" s="88" t="str">
        <f t="shared" si="15"/>
        <v/>
      </c>
      <c r="CP291" s="88" t="str">
        <f t="shared" si="16"/>
        <v/>
      </c>
      <c r="CQ291" s="88" t="str">
        <f t="shared" si="17"/>
        <v/>
      </c>
      <c r="CR291" s="88" t="str">
        <f t="shared" si="18"/>
        <v/>
      </c>
      <c r="CS291" s="88" t="str">
        <f t="shared" si="19"/>
        <v/>
      </c>
      <c r="CT291" s="88" t="str">
        <f t="shared" si="20"/>
        <v/>
      </c>
      <c r="CU291" s="88" t="str">
        <f t="shared" si="21"/>
        <v/>
      </c>
      <c r="CV291" s="88" t="str">
        <f t="shared" si="22"/>
        <v/>
      </c>
      <c r="CW291" s="88" t="str">
        <f t="shared" si="23"/>
        <v/>
      </c>
      <c r="CX291" s="7"/>
      <c r="CY291" s="7"/>
      <c r="CZ291" s="7"/>
      <c r="DA291" s="8"/>
      <c r="DU291" s="93" t="str">
        <f t="shared" si="24"/>
        <v/>
      </c>
      <c r="DV291" s="93" t="str">
        <f>ABA!$A291</f>
        <v/>
      </c>
      <c r="DW291" s="82" t="str">
        <f t="shared" si="25"/>
        <v/>
      </c>
    </row>
    <row r="292" ht="15.75" customHeight="1">
      <c r="A292" s="85"/>
      <c r="B292" s="107"/>
      <c r="C292" s="98"/>
      <c r="D292" s="98"/>
      <c r="E292" s="99"/>
      <c r="F292" s="98"/>
      <c r="G292" s="98"/>
      <c r="H292" s="98"/>
      <c r="I292" s="99"/>
      <c r="J292" s="98"/>
      <c r="K292" s="98"/>
      <c r="L292" s="98"/>
      <c r="M292" s="99"/>
      <c r="N292" s="98"/>
      <c r="O292" s="98"/>
      <c r="P292" s="98"/>
      <c r="Q292" s="99"/>
      <c r="R292" s="98"/>
      <c r="S292" s="98"/>
      <c r="T292" s="98"/>
      <c r="U292" s="99"/>
      <c r="V292" s="98"/>
      <c r="W292" s="98"/>
      <c r="X292" s="98"/>
      <c r="Y292" s="100"/>
      <c r="Z292" s="98"/>
      <c r="AA292" s="98"/>
      <c r="AB292" s="98"/>
      <c r="AC292" s="99"/>
      <c r="AD292" s="98"/>
      <c r="AE292" s="98"/>
      <c r="AF292" s="98"/>
      <c r="AG292" s="99"/>
      <c r="AH292" s="98"/>
      <c r="AI292" s="98"/>
      <c r="AJ292" s="98"/>
      <c r="AK292" s="99"/>
      <c r="AL292" s="98"/>
      <c r="AM292" s="98"/>
      <c r="AN292" s="98"/>
      <c r="AO292" s="98"/>
      <c r="AP292" s="84" t="str">
        <f t="shared" si="2"/>
        <v/>
      </c>
      <c r="AQ292" s="9"/>
      <c r="AR292" s="9"/>
      <c r="AS292" s="8"/>
      <c r="AT292" s="9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8"/>
      <c r="BX292" s="9"/>
      <c r="BY292" s="9"/>
      <c r="BZ292" s="9"/>
      <c r="CA292" s="33"/>
      <c r="CB292" s="85" t="str">
        <f t="shared" si="3"/>
        <v/>
      </c>
      <c r="CC292" s="86" t="str">
        <f t="shared" si="4"/>
        <v/>
      </c>
      <c r="CD292" s="86" t="str">
        <f t="shared" si="5"/>
        <v/>
      </c>
      <c r="CE292" s="86" t="str">
        <f t="shared" si="6"/>
        <v/>
      </c>
      <c r="CF292" s="86" t="str">
        <f t="shared" si="7"/>
        <v/>
      </c>
      <c r="CG292" s="86" t="str">
        <f t="shared" si="8"/>
        <v/>
      </c>
      <c r="CH292" s="86" t="str">
        <f t="shared" si="9"/>
        <v/>
      </c>
      <c r="CI292" s="86" t="str">
        <f t="shared" si="10"/>
        <v/>
      </c>
      <c r="CJ292" s="86" t="str">
        <f t="shared" si="11"/>
        <v/>
      </c>
      <c r="CK292" s="86" t="str">
        <f t="shared" si="12"/>
        <v/>
      </c>
      <c r="CL292" s="86" t="str">
        <f t="shared" si="13"/>
        <v/>
      </c>
      <c r="CM292" s="87" t="str">
        <f t="shared" si="14"/>
        <v/>
      </c>
      <c r="CN292" s="88" t="str">
        <f t="shared" si="26"/>
        <v/>
      </c>
      <c r="CO292" s="88" t="str">
        <f t="shared" si="15"/>
        <v/>
      </c>
      <c r="CP292" s="88" t="str">
        <f t="shared" si="16"/>
        <v/>
      </c>
      <c r="CQ292" s="88" t="str">
        <f t="shared" si="17"/>
        <v/>
      </c>
      <c r="CR292" s="88" t="str">
        <f t="shared" si="18"/>
        <v/>
      </c>
      <c r="CS292" s="88" t="str">
        <f t="shared" si="19"/>
        <v/>
      </c>
      <c r="CT292" s="88" t="str">
        <f t="shared" si="20"/>
        <v/>
      </c>
      <c r="CU292" s="88" t="str">
        <f t="shared" si="21"/>
        <v/>
      </c>
      <c r="CV292" s="88" t="str">
        <f t="shared" si="22"/>
        <v/>
      </c>
      <c r="CW292" s="88" t="str">
        <f t="shared" si="23"/>
        <v/>
      </c>
      <c r="CX292" s="7"/>
      <c r="CY292" s="7"/>
      <c r="CZ292" s="7"/>
      <c r="DA292" s="8"/>
      <c r="DU292" s="104" t="str">
        <f t="shared" si="24"/>
        <v/>
      </c>
      <c r="DV292" s="104" t="str">
        <f>ABA!$A292</f>
        <v/>
      </c>
      <c r="DW292" s="98" t="str">
        <f t="shared" si="25"/>
        <v/>
      </c>
    </row>
    <row r="293" ht="15.75" customHeight="1">
      <c r="A293" s="78"/>
      <c r="B293" s="105"/>
      <c r="C293" s="82"/>
      <c r="D293" s="82"/>
      <c r="E293" s="83"/>
      <c r="F293" s="82"/>
      <c r="G293" s="82"/>
      <c r="H293" s="82"/>
      <c r="I293" s="83"/>
      <c r="J293" s="82"/>
      <c r="K293" s="82"/>
      <c r="L293" s="82"/>
      <c r="M293" s="83"/>
      <c r="N293" s="82"/>
      <c r="O293" s="82"/>
      <c r="P293" s="82"/>
      <c r="Q293" s="83"/>
      <c r="R293" s="82"/>
      <c r="S293" s="82"/>
      <c r="T293" s="82"/>
      <c r="U293" s="83"/>
      <c r="V293" s="82"/>
      <c r="W293" s="82"/>
      <c r="X293" s="82"/>
      <c r="Y293" s="83"/>
      <c r="Z293" s="82"/>
      <c r="AA293" s="82"/>
      <c r="AB293" s="82"/>
      <c r="AC293" s="83"/>
      <c r="AD293" s="82"/>
      <c r="AE293" s="82"/>
      <c r="AF293" s="82"/>
      <c r="AG293" s="83"/>
      <c r="AH293" s="82"/>
      <c r="AI293" s="82"/>
      <c r="AJ293" s="82"/>
      <c r="AK293" s="83"/>
      <c r="AL293" s="82"/>
      <c r="AM293" s="82"/>
      <c r="AN293" s="82"/>
      <c r="AO293" s="82"/>
      <c r="AP293" s="84" t="str">
        <f t="shared" si="2"/>
        <v/>
      </c>
      <c r="AQ293" s="9"/>
      <c r="AR293" s="9"/>
      <c r="AS293" s="8"/>
      <c r="AT293" s="9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8"/>
      <c r="BX293" s="9"/>
      <c r="BY293" s="9"/>
      <c r="BZ293" s="9"/>
      <c r="CA293" s="33"/>
      <c r="CB293" s="85" t="str">
        <f t="shared" si="3"/>
        <v/>
      </c>
      <c r="CC293" s="86" t="str">
        <f t="shared" si="4"/>
        <v/>
      </c>
      <c r="CD293" s="86" t="str">
        <f t="shared" si="5"/>
        <v/>
      </c>
      <c r="CE293" s="86" t="str">
        <f t="shared" si="6"/>
        <v/>
      </c>
      <c r="CF293" s="86" t="str">
        <f t="shared" si="7"/>
        <v/>
      </c>
      <c r="CG293" s="86" t="str">
        <f t="shared" si="8"/>
        <v/>
      </c>
      <c r="CH293" s="86" t="str">
        <f t="shared" si="9"/>
        <v/>
      </c>
      <c r="CI293" s="86" t="str">
        <f t="shared" si="10"/>
        <v/>
      </c>
      <c r="CJ293" s="86" t="str">
        <f t="shared" si="11"/>
        <v/>
      </c>
      <c r="CK293" s="86" t="str">
        <f t="shared" si="12"/>
        <v/>
      </c>
      <c r="CL293" s="86" t="str">
        <f t="shared" si="13"/>
        <v/>
      </c>
      <c r="CM293" s="87" t="str">
        <f t="shared" si="14"/>
        <v/>
      </c>
      <c r="CN293" s="88" t="str">
        <f t="shared" si="26"/>
        <v/>
      </c>
      <c r="CO293" s="88" t="str">
        <f t="shared" si="15"/>
        <v/>
      </c>
      <c r="CP293" s="88" t="str">
        <f t="shared" si="16"/>
        <v/>
      </c>
      <c r="CQ293" s="88" t="str">
        <f t="shared" si="17"/>
        <v/>
      </c>
      <c r="CR293" s="88" t="str">
        <f t="shared" si="18"/>
        <v/>
      </c>
      <c r="CS293" s="88" t="str">
        <f t="shared" si="19"/>
        <v/>
      </c>
      <c r="CT293" s="88" t="str">
        <f t="shared" si="20"/>
        <v/>
      </c>
      <c r="CU293" s="88" t="str">
        <f t="shared" si="21"/>
        <v/>
      </c>
      <c r="CV293" s="88" t="str">
        <f t="shared" si="22"/>
        <v/>
      </c>
      <c r="CW293" s="88" t="str">
        <f t="shared" si="23"/>
        <v/>
      </c>
      <c r="CX293" s="7"/>
      <c r="CY293" s="7"/>
      <c r="CZ293" s="7"/>
      <c r="DA293" s="8"/>
      <c r="DU293" s="93" t="str">
        <f t="shared" si="24"/>
        <v/>
      </c>
      <c r="DV293" s="93" t="str">
        <f>ABA!$A293</f>
        <v/>
      </c>
      <c r="DW293" s="82" t="str">
        <f t="shared" si="25"/>
        <v/>
      </c>
    </row>
    <row r="294" ht="15.75" customHeight="1">
      <c r="A294" s="85"/>
      <c r="B294" s="107"/>
      <c r="C294" s="98"/>
      <c r="D294" s="98"/>
      <c r="E294" s="99"/>
      <c r="F294" s="98"/>
      <c r="G294" s="98"/>
      <c r="H294" s="98"/>
      <c r="I294" s="99"/>
      <c r="J294" s="98"/>
      <c r="K294" s="98"/>
      <c r="L294" s="98"/>
      <c r="M294" s="99"/>
      <c r="N294" s="98"/>
      <c r="O294" s="98"/>
      <c r="P294" s="98"/>
      <c r="Q294" s="99"/>
      <c r="R294" s="98"/>
      <c r="S294" s="98"/>
      <c r="T294" s="98"/>
      <c r="U294" s="99"/>
      <c r="V294" s="98"/>
      <c r="W294" s="98"/>
      <c r="X294" s="98"/>
      <c r="Y294" s="100"/>
      <c r="Z294" s="98"/>
      <c r="AA294" s="98"/>
      <c r="AB294" s="98"/>
      <c r="AC294" s="99"/>
      <c r="AD294" s="98"/>
      <c r="AE294" s="98"/>
      <c r="AF294" s="98"/>
      <c r="AG294" s="99"/>
      <c r="AH294" s="98"/>
      <c r="AI294" s="98"/>
      <c r="AJ294" s="98"/>
      <c r="AK294" s="99"/>
      <c r="AL294" s="98"/>
      <c r="AM294" s="98"/>
      <c r="AN294" s="98"/>
      <c r="AO294" s="98"/>
      <c r="AP294" s="84" t="str">
        <f t="shared" si="2"/>
        <v/>
      </c>
      <c r="AQ294" s="9"/>
      <c r="AR294" s="9"/>
      <c r="AS294" s="8"/>
      <c r="AT294" s="9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8"/>
      <c r="BX294" s="9"/>
      <c r="BY294" s="9"/>
      <c r="BZ294" s="9"/>
      <c r="CA294" s="33"/>
      <c r="CB294" s="85" t="str">
        <f t="shared" si="3"/>
        <v/>
      </c>
      <c r="CC294" s="86" t="str">
        <f t="shared" si="4"/>
        <v/>
      </c>
      <c r="CD294" s="86" t="str">
        <f t="shared" si="5"/>
        <v/>
      </c>
      <c r="CE294" s="86" t="str">
        <f t="shared" si="6"/>
        <v/>
      </c>
      <c r="CF294" s="86" t="str">
        <f t="shared" si="7"/>
        <v/>
      </c>
      <c r="CG294" s="86" t="str">
        <f t="shared" si="8"/>
        <v/>
      </c>
      <c r="CH294" s="86" t="str">
        <f t="shared" si="9"/>
        <v/>
      </c>
      <c r="CI294" s="86" t="str">
        <f t="shared" si="10"/>
        <v/>
      </c>
      <c r="CJ294" s="86" t="str">
        <f t="shared" si="11"/>
        <v/>
      </c>
      <c r="CK294" s="86" t="str">
        <f t="shared" si="12"/>
        <v/>
      </c>
      <c r="CL294" s="86" t="str">
        <f t="shared" si="13"/>
        <v/>
      </c>
      <c r="CM294" s="87" t="str">
        <f t="shared" si="14"/>
        <v/>
      </c>
      <c r="CN294" s="88" t="str">
        <f t="shared" si="26"/>
        <v/>
      </c>
      <c r="CO294" s="88" t="str">
        <f t="shared" si="15"/>
        <v/>
      </c>
      <c r="CP294" s="88" t="str">
        <f t="shared" si="16"/>
        <v/>
      </c>
      <c r="CQ294" s="88" t="str">
        <f t="shared" si="17"/>
        <v/>
      </c>
      <c r="CR294" s="88" t="str">
        <f t="shared" si="18"/>
        <v/>
      </c>
      <c r="CS294" s="88" t="str">
        <f t="shared" si="19"/>
        <v/>
      </c>
      <c r="CT294" s="88" t="str">
        <f t="shared" si="20"/>
        <v/>
      </c>
      <c r="CU294" s="88" t="str">
        <f t="shared" si="21"/>
        <v/>
      </c>
      <c r="CV294" s="88" t="str">
        <f t="shared" si="22"/>
        <v/>
      </c>
      <c r="CW294" s="88" t="str">
        <f t="shared" si="23"/>
        <v/>
      </c>
      <c r="CX294" s="7"/>
      <c r="CY294" s="7"/>
      <c r="CZ294" s="7"/>
      <c r="DA294" s="8"/>
      <c r="DU294" s="104" t="str">
        <f t="shared" si="24"/>
        <v/>
      </c>
      <c r="DV294" s="104" t="str">
        <f>ABA!$A294</f>
        <v/>
      </c>
      <c r="DW294" s="98" t="str">
        <f t="shared" si="25"/>
        <v/>
      </c>
    </row>
    <row r="295" ht="15.75" customHeight="1">
      <c r="A295" s="78"/>
      <c r="B295" s="105"/>
      <c r="C295" s="82"/>
      <c r="D295" s="82"/>
      <c r="E295" s="83"/>
      <c r="F295" s="82"/>
      <c r="G295" s="82"/>
      <c r="H295" s="82"/>
      <c r="I295" s="83"/>
      <c r="J295" s="82"/>
      <c r="K295" s="82"/>
      <c r="L295" s="82"/>
      <c r="M295" s="83"/>
      <c r="N295" s="82"/>
      <c r="O295" s="82"/>
      <c r="P295" s="82"/>
      <c r="Q295" s="83"/>
      <c r="R295" s="82"/>
      <c r="S295" s="82"/>
      <c r="T295" s="82"/>
      <c r="U295" s="83"/>
      <c r="V295" s="82"/>
      <c r="W295" s="82"/>
      <c r="X295" s="82"/>
      <c r="Y295" s="83"/>
      <c r="Z295" s="82"/>
      <c r="AA295" s="82"/>
      <c r="AB295" s="82"/>
      <c r="AC295" s="83"/>
      <c r="AD295" s="82"/>
      <c r="AE295" s="82"/>
      <c r="AF295" s="82"/>
      <c r="AG295" s="83"/>
      <c r="AH295" s="82"/>
      <c r="AI295" s="82"/>
      <c r="AJ295" s="82"/>
      <c r="AK295" s="83"/>
      <c r="AL295" s="82"/>
      <c r="AM295" s="82"/>
      <c r="AN295" s="82"/>
      <c r="AO295" s="82"/>
      <c r="AP295" s="84" t="str">
        <f t="shared" si="2"/>
        <v/>
      </c>
      <c r="AQ295" s="9"/>
      <c r="AR295" s="9"/>
      <c r="AS295" s="8"/>
      <c r="AT295" s="9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8"/>
      <c r="BX295" s="9"/>
      <c r="BY295" s="9"/>
      <c r="BZ295" s="9"/>
      <c r="CA295" s="33"/>
      <c r="CB295" s="85" t="str">
        <f t="shared" si="3"/>
        <v/>
      </c>
      <c r="CC295" s="86" t="str">
        <f t="shared" si="4"/>
        <v/>
      </c>
      <c r="CD295" s="86" t="str">
        <f t="shared" si="5"/>
        <v/>
      </c>
      <c r="CE295" s="86" t="str">
        <f t="shared" si="6"/>
        <v/>
      </c>
      <c r="CF295" s="86" t="str">
        <f t="shared" si="7"/>
        <v/>
      </c>
      <c r="CG295" s="86" t="str">
        <f t="shared" si="8"/>
        <v/>
      </c>
      <c r="CH295" s="86" t="str">
        <f t="shared" si="9"/>
        <v/>
      </c>
      <c r="CI295" s="86" t="str">
        <f t="shared" si="10"/>
        <v/>
      </c>
      <c r="CJ295" s="86" t="str">
        <f t="shared" si="11"/>
        <v/>
      </c>
      <c r="CK295" s="86" t="str">
        <f t="shared" si="12"/>
        <v/>
      </c>
      <c r="CL295" s="86" t="str">
        <f t="shared" si="13"/>
        <v/>
      </c>
      <c r="CM295" s="87" t="str">
        <f t="shared" si="14"/>
        <v/>
      </c>
      <c r="CN295" s="88" t="str">
        <f t="shared" si="26"/>
        <v/>
      </c>
      <c r="CO295" s="88" t="str">
        <f t="shared" si="15"/>
        <v/>
      </c>
      <c r="CP295" s="88" t="str">
        <f t="shared" si="16"/>
        <v/>
      </c>
      <c r="CQ295" s="88" t="str">
        <f t="shared" si="17"/>
        <v/>
      </c>
      <c r="CR295" s="88" t="str">
        <f t="shared" si="18"/>
        <v/>
      </c>
      <c r="CS295" s="88" t="str">
        <f t="shared" si="19"/>
        <v/>
      </c>
      <c r="CT295" s="88" t="str">
        <f t="shared" si="20"/>
        <v/>
      </c>
      <c r="CU295" s="88" t="str">
        <f t="shared" si="21"/>
        <v/>
      </c>
      <c r="CV295" s="88" t="str">
        <f t="shared" si="22"/>
        <v/>
      </c>
      <c r="CW295" s="88" t="str">
        <f t="shared" si="23"/>
        <v/>
      </c>
      <c r="CX295" s="7"/>
      <c r="CY295" s="7"/>
      <c r="CZ295" s="7"/>
      <c r="DA295" s="8"/>
      <c r="DU295" s="93" t="str">
        <f t="shared" si="24"/>
        <v/>
      </c>
      <c r="DV295" s="93" t="str">
        <f>ABA!$A295</f>
        <v/>
      </c>
      <c r="DW295" s="82" t="str">
        <f t="shared" si="25"/>
        <v/>
      </c>
    </row>
    <row r="296" ht="15.75" customHeight="1">
      <c r="A296" s="85"/>
      <c r="B296" s="107"/>
      <c r="C296" s="98"/>
      <c r="D296" s="98"/>
      <c r="E296" s="99"/>
      <c r="F296" s="98"/>
      <c r="G296" s="98"/>
      <c r="H296" s="98"/>
      <c r="I296" s="99"/>
      <c r="J296" s="98"/>
      <c r="K296" s="98"/>
      <c r="L296" s="98"/>
      <c r="M296" s="99"/>
      <c r="N296" s="98"/>
      <c r="O296" s="98"/>
      <c r="P296" s="98"/>
      <c r="Q296" s="99"/>
      <c r="R296" s="98"/>
      <c r="S296" s="98"/>
      <c r="T296" s="98"/>
      <c r="U296" s="99"/>
      <c r="V296" s="98"/>
      <c r="W296" s="98"/>
      <c r="X296" s="98"/>
      <c r="Y296" s="100"/>
      <c r="Z296" s="98"/>
      <c r="AA296" s="98"/>
      <c r="AB296" s="98"/>
      <c r="AC296" s="99"/>
      <c r="AD296" s="98"/>
      <c r="AE296" s="98"/>
      <c r="AF296" s="98"/>
      <c r="AG296" s="99"/>
      <c r="AH296" s="98"/>
      <c r="AI296" s="98"/>
      <c r="AJ296" s="98"/>
      <c r="AK296" s="99"/>
      <c r="AL296" s="98"/>
      <c r="AM296" s="98"/>
      <c r="AN296" s="98"/>
      <c r="AO296" s="98"/>
      <c r="AP296" s="84" t="str">
        <f t="shared" si="2"/>
        <v/>
      </c>
      <c r="AQ296" s="9"/>
      <c r="AR296" s="9"/>
      <c r="AS296" s="8"/>
      <c r="AT296" s="9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8"/>
      <c r="BX296" s="9"/>
      <c r="BY296" s="9"/>
      <c r="BZ296" s="9"/>
      <c r="CA296" s="33"/>
      <c r="CB296" s="85" t="str">
        <f t="shared" si="3"/>
        <v/>
      </c>
      <c r="CC296" s="86" t="str">
        <f t="shared" si="4"/>
        <v/>
      </c>
      <c r="CD296" s="86" t="str">
        <f t="shared" si="5"/>
        <v/>
      </c>
      <c r="CE296" s="86" t="str">
        <f t="shared" si="6"/>
        <v/>
      </c>
      <c r="CF296" s="86" t="str">
        <f t="shared" si="7"/>
        <v/>
      </c>
      <c r="CG296" s="86" t="str">
        <f t="shared" si="8"/>
        <v/>
      </c>
      <c r="CH296" s="86" t="str">
        <f t="shared" si="9"/>
        <v/>
      </c>
      <c r="CI296" s="86" t="str">
        <f t="shared" si="10"/>
        <v/>
      </c>
      <c r="CJ296" s="86" t="str">
        <f t="shared" si="11"/>
        <v/>
      </c>
      <c r="CK296" s="86" t="str">
        <f t="shared" si="12"/>
        <v/>
      </c>
      <c r="CL296" s="86" t="str">
        <f t="shared" si="13"/>
        <v/>
      </c>
      <c r="CM296" s="87" t="str">
        <f t="shared" si="14"/>
        <v/>
      </c>
      <c r="CN296" s="88" t="str">
        <f t="shared" si="26"/>
        <v/>
      </c>
      <c r="CO296" s="88" t="str">
        <f t="shared" si="15"/>
        <v/>
      </c>
      <c r="CP296" s="88" t="str">
        <f t="shared" si="16"/>
        <v/>
      </c>
      <c r="CQ296" s="88" t="str">
        <f t="shared" si="17"/>
        <v/>
      </c>
      <c r="CR296" s="88" t="str">
        <f t="shared" si="18"/>
        <v/>
      </c>
      <c r="CS296" s="88" t="str">
        <f t="shared" si="19"/>
        <v/>
      </c>
      <c r="CT296" s="88" t="str">
        <f t="shared" si="20"/>
        <v/>
      </c>
      <c r="CU296" s="88" t="str">
        <f t="shared" si="21"/>
        <v/>
      </c>
      <c r="CV296" s="88" t="str">
        <f t="shared" si="22"/>
        <v/>
      </c>
      <c r="CW296" s="88" t="str">
        <f t="shared" si="23"/>
        <v/>
      </c>
      <c r="CX296" s="7"/>
      <c r="CY296" s="7"/>
      <c r="CZ296" s="7"/>
      <c r="DA296" s="8"/>
      <c r="DU296" s="104" t="str">
        <f t="shared" si="24"/>
        <v/>
      </c>
      <c r="DV296" s="104" t="str">
        <f>ABA!$A296</f>
        <v/>
      </c>
      <c r="DW296" s="98" t="str">
        <f t="shared" si="25"/>
        <v/>
      </c>
    </row>
    <row r="297" ht="15.75" customHeight="1">
      <c r="A297" s="78"/>
      <c r="B297" s="105"/>
      <c r="C297" s="82"/>
      <c r="D297" s="82"/>
      <c r="E297" s="83"/>
      <c r="F297" s="82"/>
      <c r="G297" s="82"/>
      <c r="H297" s="82"/>
      <c r="I297" s="83"/>
      <c r="J297" s="82"/>
      <c r="K297" s="82"/>
      <c r="L297" s="82"/>
      <c r="M297" s="83"/>
      <c r="N297" s="82"/>
      <c r="O297" s="82"/>
      <c r="P297" s="82"/>
      <c r="Q297" s="83"/>
      <c r="R297" s="82"/>
      <c r="S297" s="82"/>
      <c r="T297" s="82"/>
      <c r="U297" s="83"/>
      <c r="V297" s="82"/>
      <c r="W297" s="82"/>
      <c r="X297" s="82"/>
      <c r="Y297" s="83"/>
      <c r="Z297" s="82"/>
      <c r="AA297" s="82"/>
      <c r="AB297" s="82"/>
      <c r="AC297" s="83"/>
      <c r="AD297" s="82"/>
      <c r="AE297" s="82"/>
      <c r="AF297" s="82"/>
      <c r="AG297" s="83"/>
      <c r="AH297" s="82"/>
      <c r="AI297" s="82"/>
      <c r="AJ297" s="82"/>
      <c r="AK297" s="83"/>
      <c r="AL297" s="82"/>
      <c r="AM297" s="82"/>
      <c r="AN297" s="82"/>
      <c r="AO297" s="82"/>
      <c r="AP297" s="84" t="str">
        <f t="shared" si="2"/>
        <v/>
      </c>
      <c r="AQ297" s="9"/>
      <c r="AR297" s="9"/>
      <c r="AS297" s="8"/>
      <c r="AT297" s="9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8"/>
      <c r="BX297" s="9"/>
      <c r="BY297" s="9"/>
      <c r="BZ297" s="9"/>
      <c r="CA297" s="33"/>
      <c r="CB297" s="85" t="str">
        <f t="shared" si="3"/>
        <v/>
      </c>
      <c r="CC297" s="86" t="str">
        <f t="shared" si="4"/>
        <v/>
      </c>
      <c r="CD297" s="86" t="str">
        <f t="shared" si="5"/>
        <v/>
      </c>
      <c r="CE297" s="86" t="str">
        <f t="shared" si="6"/>
        <v/>
      </c>
      <c r="CF297" s="86" t="str">
        <f t="shared" si="7"/>
        <v/>
      </c>
      <c r="CG297" s="86" t="str">
        <f t="shared" si="8"/>
        <v/>
      </c>
      <c r="CH297" s="86" t="str">
        <f t="shared" si="9"/>
        <v/>
      </c>
      <c r="CI297" s="86" t="str">
        <f t="shared" si="10"/>
        <v/>
      </c>
      <c r="CJ297" s="86" t="str">
        <f t="shared" si="11"/>
        <v/>
      </c>
      <c r="CK297" s="86" t="str">
        <f t="shared" si="12"/>
        <v/>
      </c>
      <c r="CL297" s="86" t="str">
        <f t="shared" si="13"/>
        <v/>
      </c>
      <c r="CM297" s="87" t="str">
        <f t="shared" si="14"/>
        <v/>
      </c>
      <c r="CN297" s="88" t="str">
        <f t="shared" si="26"/>
        <v/>
      </c>
      <c r="CO297" s="88" t="str">
        <f t="shared" si="15"/>
        <v/>
      </c>
      <c r="CP297" s="88" t="str">
        <f t="shared" si="16"/>
        <v/>
      </c>
      <c r="CQ297" s="88" t="str">
        <f t="shared" si="17"/>
        <v/>
      </c>
      <c r="CR297" s="88" t="str">
        <f t="shared" si="18"/>
        <v/>
      </c>
      <c r="CS297" s="88" t="str">
        <f t="shared" si="19"/>
        <v/>
      </c>
      <c r="CT297" s="88" t="str">
        <f t="shared" si="20"/>
        <v/>
      </c>
      <c r="CU297" s="88" t="str">
        <f t="shared" si="21"/>
        <v/>
      </c>
      <c r="CV297" s="88" t="str">
        <f t="shared" si="22"/>
        <v/>
      </c>
      <c r="CW297" s="88" t="str">
        <f t="shared" si="23"/>
        <v/>
      </c>
      <c r="CX297" s="7"/>
      <c r="CY297" s="7"/>
      <c r="CZ297" s="7"/>
      <c r="DA297" s="8"/>
      <c r="DU297" s="93" t="str">
        <f t="shared" si="24"/>
        <v/>
      </c>
      <c r="DV297" s="93" t="str">
        <f>ABA!$A297</f>
        <v/>
      </c>
      <c r="DW297" s="82" t="str">
        <f t="shared" si="25"/>
        <v/>
      </c>
    </row>
    <row r="298" ht="15.75" customHeight="1">
      <c r="A298" s="85"/>
      <c r="B298" s="107"/>
      <c r="C298" s="98"/>
      <c r="D298" s="98"/>
      <c r="E298" s="99"/>
      <c r="F298" s="98"/>
      <c r="G298" s="98"/>
      <c r="H298" s="98"/>
      <c r="I298" s="99"/>
      <c r="J298" s="98"/>
      <c r="K298" s="98"/>
      <c r="L298" s="98"/>
      <c r="M298" s="99"/>
      <c r="N298" s="98"/>
      <c r="O298" s="98"/>
      <c r="P298" s="98"/>
      <c r="Q298" s="99"/>
      <c r="R298" s="98"/>
      <c r="S298" s="98"/>
      <c r="T298" s="98"/>
      <c r="U298" s="99"/>
      <c r="V298" s="98"/>
      <c r="W298" s="98"/>
      <c r="X298" s="98"/>
      <c r="Y298" s="100"/>
      <c r="Z298" s="98"/>
      <c r="AA298" s="98"/>
      <c r="AB298" s="98"/>
      <c r="AC298" s="99"/>
      <c r="AD298" s="98"/>
      <c r="AE298" s="98"/>
      <c r="AF298" s="98"/>
      <c r="AG298" s="99"/>
      <c r="AH298" s="98"/>
      <c r="AI298" s="98"/>
      <c r="AJ298" s="98"/>
      <c r="AK298" s="99"/>
      <c r="AL298" s="98"/>
      <c r="AM298" s="98"/>
      <c r="AN298" s="98"/>
      <c r="AO298" s="98"/>
      <c r="AP298" s="84" t="str">
        <f t="shared" si="2"/>
        <v/>
      </c>
      <c r="AQ298" s="9"/>
      <c r="AR298" s="9"/>
      <c r="AS298" s="8"/>
      <c r="AT298" s="9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8"/>
      <c r="BX298" s="9"/>
      <c r="BY298" s="9"/>
      <c r="BZ298" s="9"/>
      <c r="CA298" s="33"/>
      <c r="CB298" s="85" t="str">
        <f t="shared" si="3"/>
        <v/>
      </c>
      <c r="CC298" s="86" t="str">
        <f t="shared" si="4"/>
        <v/>
      </c>
      <c r="CD298" s="86" t="str">
        <f t="shared" si="5"/>
        <v/>
      </c>
      <c r="CE298" s="86" t="str">
        <f t="shared" si="6"/>
        <v/>
      </c>
      <c r="CF298" s="86" t="str">
        <f t="shared" si="7"/>
        <v/>
      </c>
      <c r="CG298" s="86" t="str">
        <f t="shared" si="8"/>
        <v/>
      </c>
      <c r="CH298" s="86" t="str">
        <f t="shared" si="9"/>
        <v/>
      </c>
      <c r="CI298" s="86" t="str">
        <f t="shared" si="10"/>
        <v/>
      </c>
      <c r="CJ298" s="86" t="str">
        <f t="shared" si="11"/>
        <v/>
      </c>
      <c r="CK298" s="86" t="str">
        <f t="shared" si="12"/>
        <v/>
      </c>
      <c r="CL298" s="86" t="str">
        <f t="shared" si="13"/>
        <v/>
      </c>
      <c r="CM298" s="87" t="str">
        <f t="shared" si="14"/>
        <v/>
      </c>
      <c r="CN298" s="88" t="str">
        <f t="shared" si="26"/>
        <v/>
      </c>
      <c r="CO298" s="88" t="str">
        <f t="shared" si="15"/>
        <v/>
      </c>
      <c r="CP298" s="88" t="str">
        <f t="shared" si="16"/>
        <v/>
      </c>
      <c r="CQ298" s="88" t="str">
        <f t="shared" si="17"/>
        <v/>
      </c>
      <c r="CR298" s="88" t="str">
        <f t="shared" si="18"/>
        <v/>
      </c>
      <c r="CS298" s="88" t="str">
        <f t="shared" si="19"/>
        <v/>
      </c>
      <c r="CT298" s="88" t="str">
        <f t="shared" si="20"/>
        <v/>
      </c>
      <c r="CU298" s="88" t="str">
        <f t="shared" si="21"/>
        <v/>
      </c>
      <c r="CV298" s="88" t="str">
        <f t="shared" si="22"/>
        <v/>
      </c>
      <c r="CW298" s="88" t="str">
        <f t="shared" si="23"/>
        <v/>
      </c>
      <c r="CX298" s="7"/>
      <c r="CY298" s="7"/>
      <c r="CZ298" s="7"/>
      <c r="DA298" s="8"/>
      <c r="DU298" s="104" t="str">
        <f t="shared" si="24"/>
        <v/>
      </c>
      <c r="DV298" s="104" t="str">
        <f>ABA!$A298</f>
        <v/>
      </c>
      <c r="DW298" s="98" t="str">
        <f t="shared" si="25"/>
        <v/>
      </c>
    </row>
    <row r="299" ht="15.75" customHeight="1">
      <c r="A299" s="78"/>
      <c r="B299" s="105"/>
      <c r="C299" s="82"/>
      <c r="D299" s="82"/>
      <c r="E299" s="83"/>
      <c r="F299" s="82"/>
      <c r="G299" s="82"/>
      <c r="H299" s="82"/>
      <c r="I299" s="83"/>
      <c r="J299" s="82"/>
      <c r="K299" s="82"/>
      <c r="L299" s="82"/>
      <c r="M299" s="83"/>
      <c r="N299" s="82"/>
      <c r="O299" s="82"/>
      <c r="P299" s="82"/>
      <c r="Q299" s="83"/>
      <c r="R299" s="82"/>
      <c r="S299" s="82"/>
      <c r="T299" s="82"/>
      <c r="U299" s="83"/>
      <c r="V299" s="82"/>
      <c r="W299" s="82"/>
      <c r="X299" s="82"/>
      <c r="Y299" s="83"/>
      <c r="Z299" s="82"/>
      <c r="AA299" s="82"/>
      <c r="AB299" s="82"/>
      <c r="AC299" s="83"/>
      <c r="AD299" s="82"/>
      <c r="AE299" s="82"/>
      <c r="AF299" s="82"/>
      <c r="AG299" s="83"/>
      <c r="AH299" s="82"/>
      <c r="AI299" s="82"/>
      <c r="AJ299" s="82"/>
      <c r="AK299" s="83"/>
      <c r="AL299" s="82"/>
      <c r="AM299" s="82"/>
      <c r="AN299" s="82"/>
      <c r="AO299" s="82"/>
      <c r="AP299" s="84" t="str">
        <f t="shared" si="2"/>
        <v/>
      </c>
      <c r="AQ299" s="9"/>
      <c r="AR299" s="9"/>
      <c r="AS299" s="8"/>
      <c r="AT299" s="9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8"/>
      <c r="BX299" s="9"/>
      <c r="BY299" s="9"/>
      <c r="BZ299" s="9"/>
      <c r="CA299" s="33"/>
      <c r="CB299" s="85" t="str">
        <f t="shared" si="3"/>
        <v/>
      </c>
      <c r="CC299" s="86" t="str">
        <f t="shared" si="4"/>
        <v/>
      </c>
      <c r="CD299" s="86" t="str">
        <f t="shared" si="5"/>
        <v/>
      </c>
      <c r="CE299" s="86" t="str">
        <f t="shared" si="6"/>
        <v/>
      </c>
      <c r="CF299" s="86" t="str">
        <f t="shared" si="7"/>
        <v/>
      </c>
      <c r="CG299" s="86" t="str">
        <f t="shared" si="8"/>
        <v/>
      </c>
      <c r="CH299" s="86" t="str">
        <f t="shared" si="9"/>
        <v/>
      </c>
      <c r="CI299" s="86" t="str">
        <f t="shared" si="10"/>
        <v/>
      </c>
      <c r="CJ299" s="86" t="str">
        <f t="shared" si="11"/>
        <v/>
      </c>
      <c r="CK299" s="86" t="str">
        <f t="shared" si="12"/>
        <v/>
      </c>
      <c r="CL299" s="86" t="str">
        <f t="shared" si="13"/>
        <v/>
      </c>
      <c r="CM299" s="87" t="str">
        <f t="shared" si="14"/>
        <v/>
      </c>
      <c r="CN299" s="88" t="str">
        <f t="shared" si="26"/>
        <v/>
      </c>
      <c r="CO299" s="88" t="str">
        <f t="shared" si="15"/>
        <v/>
      </c>
      <c r="CP299" s="88" t="str">
        <f t="shared" si="16"/>
        <v/>
      </c>
      <c r="CQ299" s="88" t="str">
        <f t="shared" si="17"/>
        <v/>
      </c>
      <c r="CR299" s="88" t="str">
        <f t="shared" si="18"/>
        <v/>
      </c>
      <c r="CS299" s="88" t="str">
        <f t="shared" si="19"/>
        <v/>
      </c>
      <c r="CT299" s="88" t="str">
        <f t="shared" si="20"/>
        <v/>
      </c>
      <c r="CU299" s="88" t="str">
        <f t="shared" si="21"/>
        <v/>
      </c>
      <c r="CV299" s="88" t="str">
        <f t="shared" si="22"/>
        <v/>
      </c>
      <c r="CW299" s="88" t="str">
        <f t="shared" si="23"/>
        <v/>
      </c>
      <c r="CX299" s="7"/>
      <c r="CY299" s="7"/>
      <c r="CZ299" s="7"/>
      <c r="DA299" s="8"/>
      <c r="DU299" s="93" t="str">
        <f t="shared" si="24"/>
        <v/>
      </c>
      <c r="DV299" s="93" t="str">
        <f>ABA!$A299</f>
        <v/>
      </c>
      <c r="DW299" s="82" t="str">
        <f t="shared" si="25"/>
        <v/>
      </c>
    </row>
    <row r="300" ht="15.75" customHeight="1">
      <c r="A300" s="85"/>
      <c r="B300" s="107"/>
      <c r="C300" s="98"/>
      <c r="D300" s="98"/>
      <c r="E300" s="99"/>
      <c r="F300" s="98"/>
      <c r="G300" s="98"/>
      <c r="H300" s="98"/>
      <c r="I300" s="99"/>
      <c r="J300" s="98"/>
      <c r="K300" s="98"/>
      <c r="L300" s="98"/>
      <c r="M300" s="99"/>
      <c r="N300" s="98"/>
      <c r="O300" s="98"/>
      <c r="P300" s="98"/>
      <c r="Q300" s="99"/>
      <c r="R300" s="98"/>
      <c r="S300" s="98"/>
      <c r="T300" s="98"/>
      <c r="U300" s="99"/>
      <c r="V300" s="98"/>
      <c r="W300" s="98"/>
      <c r="X300" s="98"/>
      <c r="Y300" s="100"/>
      <c r="Z300" s="98"/>
      <c r="AA300" s="98"/>
      <c r="AB300" s="98"/>
      <c r="AC300" s="99"/>
      <c r="AD300" s="98"/>
      <c r="AE300" s="98"/>
      <c r="AF300" s="98"/>
      <c r="AG300" s="99"/>
      <c r="AH300" s="98"/>
      <c r="AI300" s="98"/>
      <c r="AJ300" s="98"/>
      <c r="AK300" s="99"/>
      <c r="AL300" s="98"/>
      <c r="AM300" s="98"/>
      <c r="AN300" s="98"/>
      <c r="AO300" s="98"/>
      <c r="AP300" s="84" t="str">
        <f t="shared" si="2"/>
        <v/>
      </c>
      <c r="AQ300" s="9"/>
      <c r="AR300" s="9"/>
      <c r="AS300" s="8"/>
      <c r="AT300" s="9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8"/>
      <c r="BX300" s="9"/>
      <c r="BY300" s="9"/>
      <c r="BZ300" s="9"/>
      <c r="CA300" s="33"/>
      <c r="CB300" s="85" t="str">
        <f t="shared" si="3"/>
        <v/>
      </c>
      <c r="CC300" s="86" t="str">
        <f t="shared" si="4"/>
        <v/>
      </c>
      <c r="CD300" s="86" t="str">
        <f t="shared" si="5"/>
        <v/>
      </c>
      <c r="CE300" s="86" t="str">
        <f t="shared" si="6"/>
        <v/>
      </c>
      <c r="CF300" s="86" t="str">
        <f t="shared" si="7"/>
        <v/>
      </c>
      <c r="CG300" s="86" t="str">
        <f t="shared" si="8"/>
        <v/>
      </c>
      <c r="CH300" s="86" t="str">
        <f t="shared" si="9"/>
        <v/>
      </c>
      <c r="CI300" s="86" t="str">
        <f t="shared" si="10"/>
        <v/>
      </c>
      <c r="CJ300" s="86" t="str">
        <f t="shared" si="11"/>
        <v/>
      </c>
      <c r="CK300" s="86" t="str">
        <f t="shared" si="12"/>
        <v/>
      </c>
      <c r="CL300" s="86" t="str">
        <f t="shared" si="13"/>
        <v/>
      </c>
      <c r="CM300" s="87" t="str">
        <f t="shared" si="14"/>
        <v/>
      </c>
      <c r="CN300" s="88" t="str">
        <f t="shared" si="26"/>
        <v/>
      </c>
      <c r="CO300" s="88" t="str">
        <f t="shared" si="15"/>
        <v/>
      </c>
      <c r="CP300" s="88" t="str">
        <f t="shared" si="16"/>
        <v/>
      </c>
      <c r="CQ300" s="88" t="str">
        <f t="shared" si="17"/>
        <v/>
      </c>
      <c r="CR300" s="88" t="str">
        <f t="shared" si="18"/>
        <v/>
      </c>
      <c r="CS300" s="88" t="str">
        <f t="shared" si="19"/>
        <v/>
      </c>
      <c r="CT300" s="88" t="str">
        <f t="shared" si="20"/>
        <v/>
      </c>
      <c r="CU300" s="88" t="str">
        <f t="shared" si="21"/>
        <v/>
      </c>
      <c r="CV300" s="88" t="str">
        <f t="shared" si="22"/>
        <v/>
      </c>
      <c r="CW300" s="88" t="str">
        <f t="shared" si="23"/>
        <v/>
      </c>
      <c r="CX300" s="7"/>
      <c r="CY300" s="7"/>
      <c r="CZ300" s="7"/>
      <c r="DA300" s="8"/>
      <c r="DU300" s="104" t="str">
        <f t="shared" si="24"/>
        <v/>
      </c>
      <c r="DV300" s="104" t="str">
        <f>ABA!$A300</f>
        <v/>
      </c>
      <c r="DW300" s="98" t="str">
        <f t="shared" si="25"/>
        <v/>
      </c>
    </row>
    <row r="301" ht="15.75" customHeight="1">
      <c r="A301" s="78"/>
      <c r="B301" s="105"/>
      <c r="C301" s="82"/>
      <c r="D301" s="82"/>
      <c r="E301" s="83"/>
      <c r="F301" s="82"/>
      <c r="G301" s="82"/>
      <c r="H301" s="82"/>
      <c r="I301" s="83"/>
      <c r="J301" s="82"/>
      <c r="K301" s="82"/>
      <c r="L301" s="82"/>
      <c r="M301" s="83"/>
      <c r="N301" s="82"/>
      <c r="O301" s="82"/>
      <c r="P301" s="82"/>
      <c r="Q301" s="83"/>
      <c r="R301" s="82"/>
      <c r="S301" s="82"/>
      <c r="T301" s="82"/>
      <c r="U301" s="83"/>
      <c r="V301" s="82"/>
      <c r="W301" s="82"/>
      <c r="X301" s="82"/>
      <c r="Y301" s="83"/>
      <c r="Z301" s="82"/>
      <c r="AA301" s="82"/>
      <c r="AB301" s="82"/>
      <c r="AC301" s="83"/>
      <c r="AD301" s="82"/>
      <c r="AE301" s="82"/>
      <c r="AF301" s="82"/>
      <c r="AG301" s="83"/>
      <c r="AH301" s="82"/>
      <c r="AI301" s="82"/>
      <c r="AJ301" s="82"/>
      <c r="AK301" s="83"/>
      <c r="AL301" s="82"/>
      <c r="AM301" s="82"/>
      <c r="AN301" s="82"/>
      <c r="AO301" s="82"/>
      <c r="AP301" s="84" t="str">
        <f t="shared" si="2"/>
        <v/>
      </c>
      <c r="AQ301" s="9"/>
      <c r="AR301" s="9"/>
      <c r="AS301" s="8"/>
      <c r="AT301" s="9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8"/>
      <c r="BX301" s="9"/>
      <c r="BY301" s="9"/>
      <c r="BZ301" s="9"/>
      <c r="CA301" s="33"/>
      <c r="CB301" s="85" t="str">
        <f t="shared" si="3"/>
        <v/>
      </c>
      <c r="CC301" s="86" t="str">
        <f t="shared" si="4"/>
        <v/>
      </c>
      <c r="CD301" s="86" t="str">
        <f t="shared" si="5"/>
        <v/>
      </c>
      <c r="CE301" s="86" t="str">
        <f t="shared" si="6"/>
        <v/>
      </c>
      <c r="CF301" s="86" t="str">
        <f t="shared" si="7"/>
        <v/>
      </c>
      <c r="CG301" s="86" t="str">
        <f t="shared" si="8"/>
        <v/>
      </c>
      <c r="CH301" s="86" t="str">
        <f t="shared" si="9"/>
        <v/>
      </c>
      <c r="CI301" s="86" t="str">
        <f t="shared" si="10"/>
        <v/>
      </c>
      <c r="CJ301" s="86" t="str">
        <f t="shared" si="11"/>
        <v/>
      </c>
      <c r="CK301" s="86" t="str">
        <f t="shared" si="12"/>
        <v/>
      </c>
      <c r="CL301" s="86" t="str">
        <f t="shared" si="13"/>
        <v/>
      </c>
      <c r="CM301" s="87" t="str">
        <f t="shared" si="14"/>
        <v/>
      </c>
      <c r="CN301" s="88" t="str">
        <f t="shared" si="26"/>
        <v/>
      </c>
      <c r="CO301" s="88" t="str">
        <f t="shared" si="15"/>
        <v/>
      </c>
      <c r="CP301" s="88" t="str">
        <f t="shared" si="16"/>
        <v/>
      </c>
      <c r="CQ301" s="88" t="str">
        <f t="shared" si="17"/>
        <v/>
      </c>
      <c r="CR301" s="88" t="str">
        <f t="shared" si="18"/>
        <v/>
      </c>
      <c r="CS301" s="88" t="str">
        <f t="shared" si="19"/>
        <v/>
      </c>
      <c r="CT301" s="88" t="str">
        <f t="shared" si="20"/>
        <v/>
      </c>
      <c r="CU301" s="88" t="str">
        <f t="shared" si="21"/>
        <v/>
      </c>
      <c r="CV301" s="88" t="str">
        <f t="shared" si="22"/>
        <v/>
      </c>
      <c r="CW301" s="88" t="str">
        <f t="shared" si="23"/>
        <v/>
      </c>
      <c r="CX301" s="7"/>
      <c r="CY301" s="7"/>
      <c r="CZ301" s="7"/>
      <c r="DA301" s="8"/>
      <c r="DU301" s="93" t="str">
        <f t="shared" si="24"/>
        <v/>
      </c>
      <c r="DV301" s="93" t="str">
        <f>ABA!$A301</f>
        <v/>
      </c>
      <c r="DW301" s="82" t="str">
        <f t="shared" si="25"/>
        <v/>
      </c>
    </row>
    <row r="302" ht="15.75" customHeight="1">
      <c r="A302" s="85"/>
      <c r="B302" s="107"/>
      <c r="C302" s="98"/>
      <c r="D302" s="98"/>
      <c r="E302" s="99"/>
      <c r="F302" s="98"/>
      <c r="G302" s="98"/>
      <c r="H302" s="98"/>
      <c r="I302" s="99"/>
      <c r="J302" s="98"/>
      <c r="K302" s="98"/>
      <c r="L302" s="98"/>
      <c r="M302" s="99"/>
      <c r="N302" s="98"/>
      <c r="O302" s="98"/>
      <c r="P302" s="98"/>
      <c r="Q302" s="99"/>
      <c r="R302" s="98"/>
      <c r="S302" s="98"/>
      <c r="T302" s="98"/>
      <c r="U302" s="99"/>
      <c r="V302" s="98"/>
      <c r="W302" s="98"/>
      <c r="X302" s="98"/>
      <c r="Y302" s="100"/>
      <c r="Z302" s="98"/>
      <c r="AA302" s="98"/>
      <c r="AB302" s="98"/>
      <c r="AC302" s="99"/>
      <c r="AD302" s="98"/>
      <c r="AE302" s="98"/>
      <c r="AF302" s="98"/>
      <c r="AG302" s="99"/>
      <c r="AH302" s="98"/>
      <c r="AI302" s="98"/>
      <c r="AJ302" s="98"/>
      <c r="AK302" s="99"/>
      <c r="AL302" s="98"/>
      <c r="AM302" s="98"/>
      <c r="AN302" s="98"/>
      <c r="AO302" s="98"/>
      <c r="AP302" s="84" t="str">
        <f t="shared" si="2"/>
        <v/>
      </c>
      <c r="AQ302" s="9"/>
      <c r="AR302" s="9"/>
      <c r="AS302" s="8"/>
      <c r="AT302" s="9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8"/>
      <c r="BX302" s="9"/>
      <c r="BY302" s="9"/>
      <c r="BZ302" s="9"/>
      <c r="CA302" s="33"/>
      <c r="CB302" s="85" t="str">
        <f t="shared" si="3"/>
        <v/>
      </c>
      <c r="CC302" s="86" t="str">
        <f t="shared" si="4"/>
        <v/>
      </c>
      <c r="CD302" s="86" t="str">
        <f t="shared" si="5"/>
        <v/>
      </c>
      <c r="CE302" s="86" t="str">
        <f t="shared" si="6"/>
        <v/>
      </c>
      <c r="CF302" s="86" t="str">
        <f t="shared" si="7"/>
        <v/>
      </c>
      <c r="CG302" s="86" t="str">
        <f t="shared" si="8"/>
        <v/>
      </c>
      <c r="CH302" s="86" t="str">
        <f t="shared" si="9"/>
        <v/>
      </c>
      <c r="CI302" s="86" t="str">
        <f t="shared" si="10"/>
        <v/>
      </c>
      <c r="CJ302" s="86" t="str">
        <f t="shared" si="11"/>
        <v/>
      </c>
      <c r="CK302" s="86" t="str">
        <f t="shared" si="12"/>
        <v/>
      </c>
      <c r="CL302" s="86" t="str">
        <f t="shared" si="13"/>
        <v/>
      </c>
      <c r="CM302" s="87" t="str">
        <f t="shared" si="14"/>
        <v/>
      </c>
      <c r="CN302" s="88" t="str">
        <f t="shared" si="26"/>
        <v/>
      </c>
      <c r="CO302" s="88" t="str">
        <f t="shared" si="15"/>
        <v/>
      </c>
      <c r="CP302" s="88" t="str">
        <f t="shared" si="16"/>
        <v/>
      </c>
      <c r="CQ302" s="88" t="str">
        <f t="shared" si="17"/>
        <v/>
      </c>
      <c r="CR302" s="88" t="str">
        <f t="shared" si="18"/>
        <v/>
      </c>
      <c r="CS302" s="88" t="str">
        <f t="shared" si="19"/>
        <v/>
      </c>
      <c r="CT302" s="88" t="str">
        <f t="shared" si="20"/>
        <v/>
      </c>
      <c r="CU302" s="88" t="str">
        <f t="shared" si="21"/>
        <v/>
      </c>
      <c r="CV302" s="88" t="str">
        <f t="shared" si="22"/>
        <v/>
      </c>
      <c r="CW302" s="88" t="str">
        <f t="shared" si="23"/>
        <v/>
      </c>
      <c r="CX302" s="7"/>
      <c r="CY302" s="7"/>
      <c r="CZ302" s="7"/>
      <c r="DA302" s="8"/>
      <c r="DU302" s="104" t="str">
        <f t="shared" si="24"/>
        <v/>
      </c>
      <c r="DV302" s="104" t="str">
        <f>ABA!$A302</f>
        <v/>
      </c>
      <c r="DW302" s="98" t="str">
        <f t="shared" si="25"/>
        <v/>
      </c>
    </row>
    <row r="303" ht="15.75" customHeight="1">
      <c r="A303" s="78"/>
      <c r="B303" s="105"/>
      <c r="C303" s="82"/>
      <c r="D303" s="82"/>
      <c r="E303" s="83"/>
      <c r="F303" s="82"/>
      <c r="G303" s="82"/>
      <c r="H303" s="82"/>
      <c r="I303" s="83"/>
      <c r="J303" s="82"/>
      <c r="K303" s="82"/>
      <c r="L303" s="82"/>
      <c r="M303" s="83"/>
      <c r="N303" s="82"/>
      <c r="O303" s="82"/>
      <c r="P303" s="82"/>
      <c r="Q303" s="83"/>
      <c r="R303" s="82"/>
      <c r="S303" s="82"/>
      <c r="T303" s="82"/>
      <c r="U303" s="83"/>
      <c r="V303" s="82"/>
      <c r="W303" s="82"/>
      <c r="X303" s="82"/>
      <c r="Y303" s="83"/>
      <c r="Z303" s="82"/>
      <c r="AA303" s="82"/>
      <c r="AB303" s="82"/>
      <c r="AC303" s="83"/>
      <c r="AD303" s="82"/>
      <c r="AE303" s="82"/>
      <c r="AF303" s="82"/>
      <c r="AG303" s="83"/>
      <c r="AH303" s="82"/>
      <c r="AI303" s="82"/>
      <c r="AJ303" s="82"/>
      <c r="AK303" s="83"/>
      <c r="AL303" s="82"/>
      <c r="AM303" s="82"/>
      <c r="AN303" s="82"/>
      <c r="AO303" s="82"/>
      <c r="AP303" s="84" t="str">
        <f t="shared" si="2"/>
        <v/>
      </c>
      <c r="AQ303" s="9"/>
      <c r="AR303" s="9"/>
      <c r="AS303" s="8"/>
      <c r="AT303" s="9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8"/>
      <c r="BX303" s="9"/>
      <c r="BY303" s="9"/>
      <c r="BZ303" s="9"/>
      <c r="CA303" s="33"/>
      <c r="CB303" s="85" t="str">
        <f t="shared" si="3"/>
        <v/>
      </c>
      <c r="CC303" s="86" t="str">
        <f t="shared" si="4"/>
        <v/>
      </c>
      <c r="CD303" s="86" t="str">
        <f t="shared" si="5"/>
        <v/>
      </c>
      <c r="CE303" s="86" t="str">
        <f t="shared" si="6"/>
        <v/>
      </c>
      <c r="CF303" s="86" t="str">
        <f t="shared" si="7"/>
        <v/>
      </c>
      <c r="CG303" s="86" t="str">
        <f t="shared" si="8"/>
        <v/>
      </c>
      <c r="CH303" s="86" t="str">
        <f t="shared" si="9"/>
        <v/>
      </c>
      <c r="CI303" s="86" t="str">
        <f t="shared" si="10"/>
        <v/>
      </c>
      <c r="CJ303" s="86" t="str">
        <f t="shared" si="11"/>
        <v/>
      </c>
      <c r="CK303" s="86" t="str">
        <f t="shared" si="12"/>
        <v/>
      </c>
      <c r="CL303" s="86" t="str">
        <f t="shared" si="13"/>
        <v/>
      </c>
      <c r="CM303" s="87" t="str">
        <f t="shared" si="14"/>
        <v/>
      </c>
      <c r="CN303" s="88" t="str">
        <f t="shared" si="26"/>
        <v/>
      </c>
      <c r="CO303" s="88" t="str">
        <f t="shared" si="15"/>
        <v/>
      </c>
      <c r="CP303" s="88" t="str">
        <f t="shared" si="16"/>
        <v/>
      </c>
      <c r="CQ303" s="88" t="str">
        <f t="shared" si="17"/>
        <v/>
      </c>
      <c r="CR303" s="88" t="str">
        <f t="shared" si="18"/>
        <v/>
      </c>
      <c r="CS303" s="88" t="str">
        <f t="shared" si="19"/>
        <v/>
      </c>
      <c r="CT303" s="88" t="str">
        <f t="shared" si="20"/>
        <v/>
      </c>
      <c r="CU303" s="88" t="str">
        <f t="shared" si="21"/>
        <v/>
      </c>
      <c r="CV303" s="88" t="str">
        <f t="shared" si="22"/>
        <v/>
      </c>
      <c r="CW303" s="88" t="str">
        <f t="shared" si="23"/>
        <v/>
      </c>
      <c r="CX303" s="7"/>
      <c r="CY303" s="7"/>
      <c r="CZ303" s="7"/>
      <c r="DA303" s="8"/>
      <c r="DU303" s="93" t="str">
        <f t="shared" si="24"/>
        <v/>
      </c>
      <c r="DV303" s="93" t="str">
        <f>ABA!$A303</f>
        <v/>
      </c>
      <c r="DW303" s="82" t="str">
        <f t="shared" si="25"/>
        <v/>
      </c>
    </row>
    <row r="304" ht="15.75" customHeight="1">
      <c r="A304" s="85"/>
      <c r="B304" s="107"/>
      <c r="C304" s="98"/>
      <c r="D304" s="98"/>
      <c r="E304" s="99"/>
      <c r="F304" s="98"/>
      <c r="G304" s="98"/>
      <c r="H304" s="98"/>
      <c r="I304" s="99"/>
      <c r="J304" s="98"/>
      <c r="K304" s="98"/>
      <c r="L304" s="98"/>
      <c r="M304" s="99"/>
      <c r="N304" s="98"/>
      <c r="O304" s="98"/>
      <c r="P304" s="98"/>
      <c r="Q304" s="99"/>
      <c r="R304" s="98"/>
      <c r="S304" s="98"/>
      <c r="T304" s="98"/>
      <c r="U304" s="99"/>
      <c r="V304" s="98"/>
      <c r="W304" s="98"/>
      <c r="X304" s="98"/>
      <c r="Y304" s="100"/>
      <c r="Z304" s="98"/>
      <c r="AA304" s="98"/>
      <c r="AB304" s="98"/>
      <c r="AC304" s="99"/>
      <c r="AD304" s="98"/>
      <c r="AE304" s="98"/>
      <c r="AF304" s="98"/>
      <c r="AG304" s="99"/>
      <c r="AH304" s="98"/>
      <c r="AI304" s="98"/>
      <c r="AJ304" s="98"/>
      <c r="AK304" s="99"/>
      <c r="AL304" s="98"/>
      <c r="AM304" s="98"/>
      <c r="AN304" s="98"/>
      <c r="AO304" s="98"/>
      <c r="AP304" s="84" t="str">
        <f t="shared" si="2"/>
        <v/>
      </c>
      <c r="AQ304" s="9"/>
      <c r="AR304" s="9"/>
      <c r="AS304" s="8"/>
      <c r="AT304" s="9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8"/>
      <c r="BX304" s="9"/>
      <c r="BY304" s="9"/>
      <c r="BZ304" s="9"/>
      <c r="CA304" s="33"/>
      <c r="CB304" s="85" t="str">
        <f t="shared" si="3"/>
        <v/>
      </c>
      <c r="CC304" s="86" t="str">
        <f t="shared" si="4"/>
        <v/>
      </c>
      <c r="CD304" s="86" t="str">
        <f t="shared" si="5"/>
        <v/>
      </c>
      <c r="CE304" s="86" t="str">
        <f t="shared" si="6"/>
        <v/>
      </c>
      <c r="CF304" s="86" t="str">
        <f t="shared" si="7"/>
        <v/>
      </c>
      <c r="CG304" s="86" t="str">
        <f t="shared" si="8"/>
        <v/>
      </c>
      <c r="CH304" s="86" t="str">
        <f t="shared" si="9"/>
        <v/>
      </c>
      <c r="CI304" s="86" t="str">
        <f t="shared" si="10"/>
        <v/>
      </c>
      <c r="CJ304" s="86" t="str">
        <f t="shared" si="11"/>
        <v/>
      </c>
      <c r="CK304" s="86" t="str">
        <f t="shared" si="12"/>
        <v/>
      </c>
      <c r="CL304" s="86" t="str">
        <f t="shared" si="13"/>
        <v/>
      </c>
      <c r="CM304" s="87" t="str">
        <f t="shared" si="14"/>
        <v/>
      </c>
      <c r="CN304" s="88" t="str">
        <f t="shared" si="26"/>
        <v/>
      </c>
      <c r="CO304" s="88" t="str">
        <f t="shared" si="15"/>
        <v/>
      </c>
      <c r="CP304" s="88" t="str">
        <f t="shared" si="16"/>
        <v/>
      </c>
      <c r="CQ304" s="88" t="str">
        <f t="shared" si="17"/>
        <v/>
      </c>
      <c r="CR304" s="88" t="str">
        <f t="shared" si="18"/>
        <v/>
      </c>
      <c r="CS304" s="88" t="str">
        <f t="shared" si="19"/>
        <v/>
      </c>
      <c r="CT304" s="88" t="str">
        <f t="shared" si="20"/>
        <v/>
      </c>
      <c r="CU304" s="88" t="str">
        <f t="shared" si="21"/>
        <v/>
      </c>
      <c r="CV304" s="88" t="str">
        <f t="shared" si="22"/>
        <v/>
      </c>
      <c r="CW304" s="88" t="str">
        <f t="shared" si="23"/>
        <v/>
      </c>
      <c r="CX304" s="7"/>
      <c r="CY304" s="7"/>
      <c r="CZ304" s="7"/>
      <c r="DA304" s="8"/>
      <c r="DU304" s="104" t="str">
        <f t="shared" si="24"/>
        <v/>
      </c>
      <c r="DV304" s="104" t="str">
        <f>ABA!$A304</f>
        <v/>
      </c>
      <c r="DW304" s="98" t="str">
        <f t="shared" si="25"/>
        <v/>
      </c>
    </row>
    <row r="305" ht="15.75" customHeight="1">
      <c r="A305" s="78"/>
      <c r="B305" s="105"/>
      <c r="C305" s="82"/>
      <c r="D305" s="82"/>
      <c r="E305" s="83"/>
      <c r="F305" s="82"/>
      <c r="G305" s="82"/>
      <c r="H305" s="82"/>
      <c r="I305" s="83"/>
      <c r="J305" s="82"/>
      <c r="K305" s="82"/>
      <c r="L305" s="82"/>
      <c r="M305" s="83"/>
      <c r="N305" s="82"/>
      <c r="O305" s="82"/>
      <c r="P305" s="82"/>
      <c r="Q305" s="83"/>
      <c r="R305" s="82"/>
      <c r="S305" s="82"/>
      <c r="T305" s="82"/>
      <c r="U305" s="83"/>
      <c r="V305" s="82"/>
      <c r="W305" s="82"/>
      <c r="X305" s="82"/>
      <c r="Y305" s="83"/>
      <c r="Z305" s="82"/>
      <c r="AA305" s="82"/>
      <c r="AB305" s="82"/>
      <c r="AC305" s="83"/>
      <c r="AD305" s="82"/>
      <c r="AE305" s="82"/>
      <c r="AF305" s="82"/>
      <c r="AG305" s="83"/>
      <c r="AH305" s="82"/>
      <c r="AI305" s="82"/>
      <c r="AJ305" s="82"/>
      <c r="AK305" s="83"/>
      <c r="AL305" s="82"/>
      <c r="AM305" s="82"/>
      <c r="AN305" s="82"/>
      <c r="AO305" s="82"/>
      <c r="AP305" s="84" t="str">
        <f t="shared" si="2"/>
        <v/>
      </c>
      <c r="AQ305" s="9"/>
      <c r="AR305" s="9"/>
      <c r="AS305" s="8"/>
      <c r="AT305" s="9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8"/>
      <c r="BX305" s="9"/>
      <c r="BY305" s="9"/>
      <c r="BZ305" s="9"/>
      <c r="CA305" s="33"/>
      <c r="CB305" s="85" t="str">
        <f t="shared" si="3"/>
        <v/>
      </c>
      <c r="CC305" s="86" t="str">
        <f t="shared" si="4"/>
        <v/>
      </c>
      <c r="CD305" s="86" t="str">
        <f t="shared" si="5"/>
        <v/>
      </c>
      <c r="CE305" s="86" t="str">
        <f t="shared" si="6"/>
        <v/>
      </c>
      <c r="CF305" s="86" t="str">
        <f t="shared" si="7"/>
        <v/>
      </c>
      <c r="CG305" s="86" t="str">
        <f t="shared" si="8"/>
        <v/>
      </c>
      <c r="CH305" s="86" t="str">
        <f t="shared" si="9"/>
        <v/>
      </c>
      <c r="CI305" s="86" t="str">
        <f t="shared" si="10"/>
        <v/>
      </c>
      <c r="CJ305" s="86" t="str">
        <f t="shared" si="11"/>
        <v/>
      </c>
      <c r="CK305" s="86" t="str">
        <f t="shared" si="12"/>
        <v/>
      </c>
      <c r="CL305" s="86" t="str">
        <f t="shared" si="13"/>
        <v/>
      </c>
      <c r="CM305" s="87" t="str">
        <f t="shared" si="14"/>
        <v/>
      </c>
      <c r="CN305" s="88" t="str">
        <f t="shared" si="26"/>
        <v/>
      </c>
      <c r="CO305" s="88" t="str">
        <f t="shared" si="15"/>
        <v/>
      </c>
      <c r="CP305" s="88" t="str">
        <f t="shared" si="16"/>
        <v/>
      </c>
      <c r="CQ305" s="88" t="str">
        <f t="shared" si="17"/>
        <v/>
      </c>
      <c r="CR305" s="88" t="str">
        <f t="shared" si="18"/>
        <v/>
      </c>
      <c r="CS305" s="88" t="str">
        <f t="shared" si="19"/>
        <v/>
      </c>
      <c r="CT305" s="88" t="str">
        <f t="shared" si="20"/>
        <v/>
      </c>
      <c r="CU305" s="88" t="str">
        <f t="shared" si="21"/>
        <v/>
      </c>
      <c r="CV305" s="88" t="str">
        <f t="shared" si="22"/>
        <v/>
      </c>
      <c r="CW305" s="88" t="str">
        <f t="shared" si="23"/>
        <v/>
      </c>
      <c r="CX305" s="7"/>
      <c r="CY305" s="7"/>
      <c r="CZ305" s="7"/>
      <c r="DA305" s="8"/>
      <c r="DU305" s="93" t="str">
        <f t="shared" si="24"/>
        <v/>
      </c>
      <c r="DV305" s="93" t="str">
        <f>ABA!$A305</f>
        <v/>
      </c>
      <c r="DW305" s="82" t="str">
        <f t="shared" si="25"/>
        <v/>
      </c>
    </row>
    <row r="306" ht="15.75" customHeight="1">
      <c r="A306" s="85"/>
      <c r="B306" s="107"/>
      <c r="C306" s="98"/>
      <c r="D306" s="98"/>
      <c r="E306" s="99"/>
      <c r="F306" s="98"/>
      <c r="G306" s="98"/>
      <c r="H306" s="98"/>
      <c r="I306" s="99"/>
      <c r="J306" s="98"/>
      <c r="K306" s="98"/>
      <c r="L306" s="98"/>
      <c r="M306" s="99"/>
      <c r="N306" s="98"/>
      <c r="O306" s="98"/>
      <c r="P306" s="98"/>
      <c r="Q306" s="99"/>
      <c r="R306" s="98"/>
      <c r="S306" s="98"/>
      <c r="T306" s="98"/>
      <c r="U306" s="99"/>
      <c r="V306" s="98"/>
      <c r="W306" s="98"/>
      <c r="X306" s="98"/>
      <c r="Y306" s="100"/>
      <c r="Z306" s="98"/>
      <c r="AA306" s="98"/>
      <c r="AB306" s="98"/>
      <c r="AC306" s="99"/>
      <c r="AD306" s="98"/>
      <c r="AE306" s="98"/>
      <c r="AF306" s="98"/>
      <c r="AG306" s="99"/>
      <c r="AH306" s="98"/>
      <c r="AI306" s="98"/>
      <c r="AJ306" s="98"/>
      <c r="AK306" s="99"/>
      <c r="AL306" s="98"/>
      <c r="AM306" s="98"/>
      <c r="AN306" s="98"/>
      <c r="AO306" s="98"/>
      <c r="AP306" s="84" t="str">
        <f t="shared" si="2"/>
        <v/>
      </c>
      <c r="AQ306" s="9"/>
      <c r="AR306" s="9"/>
      <c r="AS306" s="8"/>
      <c r="AT306" s="9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8"/>
      <c r="BX306" s="9"/>
      <c r="BY306" s="9"/>
      <c r="BZ306" s="9"/>
      <c r="CA306" s="33"/>
      <c r="CB306" s="85" t="str">
        <f t="shared" si="3"/>
        <v/>
      </c>
      <c r="CC306" s="86" t="str">
        <f t="shared" si="4"/>
        <v/>
      </c>
      <c r="CD306" s="86" t="str">
        <f t="shared" si="5"/>
        <v/>
      </c>
      <c r="CE306" s="86" t="str">
        <f t="shared" si="6"/>
        <v/>
      </c>
      <c r="CF306" s="86" t="str">
        <f t="shared" si="7"/>
        <v/>
      </c>
      <c r="CG306" s="86" t="str">
        <f t="shared" si="8"/>
        <v/>
      </c>
      <c r="CH306" s="86" t="str">
        <f t="shared" si="9"/>
        <v/>
      </c>
      <c r="CI306" s="86" t="str">
        <f t="shared" si="10"/>
        <v/>
      </c>
      <c r="CJ306" s="86" t="str">
        <f t="shared" si="11"/>
        <v/>
      </c>
      <c r="CK306" s="86" t="str">
        <f t="shared" si="12"/>
        <v/>
      </c>
      <c r="CL306" s="86" t="str">
        <f t="shared" si="13"/>
        <v/>
      </c>
      <c r="CM306" s="87" t="str">
        <f t="shared" si="14"/>
        <v/>
      </c>
      <c r="CN306" s="88" t="str">
        <f t="shared" si="26"/>
        <v/>
      </c>
      <c r="CO306" s="88" t="str">
        <f t="shared" si="15"/>
        <v/>
      </c>
      <c r="CP306" s="88" t="str">
        <f t="shared" si="16"/>
        <v/>
      </c>
      <c r="CQ306" s="88" t="str">
        <f t="shared" si="17"/>
        <v/>
      </c>
      <c r="CR306" s="88" t="str">
        <f t="shared" si="18"/>
        <v/>
      </c>
      <c r="CS306" s="88" t="str">
        <f t="shared" si="19"/>
        <v/>
      </c>
      <c r="CT306" s="88" t="str">
        <f t="shared" si="20"/>
        <v/>
      </c>
      <c r="CU306" s="88" t="str">
        <f t="shared" si="21"/>
        <v/>
      </c>
      <c r="CV306" s="88" t="str">
        <f t="shared" si="22"/>
        <v/>
      </c>
      <c r="CW306" s="88" t="str">
        <f t="shared" si="23"/>
        <v/>
      </c>
      <c r="CX306" s="7"/>
      <c r="CY306" s="7"/>
      <c r="CZ306" s="7"/>
      <c r="DA306" s="8"/>
      <c r="DU306" s="104" t="str">
        <f t="shared" si="24"/>
        <v/>
      </c>
      <c r="DV306" s="104" t="str">
        <f>ABA!$A306</f>
        <v/>
      </c>
      <c r="DW306" s="98" t="str">
        <f t="shared" si="25"/>
        <v/>
      </c>
    </row>
    <row r="307" ht="15.75" customHeight="1">
      <c r="A307" s="78"/>
      <c r="B307" s="105"/>
      <c r="C307" s="82"/>
      <c r="D307" s="82"/>
      <c r="E307" s="83"/>
      <c r="F307" s="82"/>
      <c r="G307" s="82"/>
      <c r="H307" s="82"/>
      <c r="I307" s="83"/>
      <c r="J307" s="82"/>
      <c r="K307" s="82"/>
      <c r="L307" s="82"/>
      <c r="M307" s="83"/>
      <c r="N307" s="82"/>
      <c r="O307" s="82"/>
      <c r="P307" s="82"/>
      <c r="Q307" s="83"/>
      <c r="R307" s="82"/>
      <c r="S307" s="82"/>
      <c r="T307" s="82"/>
      <c r="U307" s="83"/>
      <c r="V307" s="82"/>
      <c r="W307" s="82"/>
      <c r="X307" s="82"/>
      <c r="Y307" s="83"/>
      <c r="Z307" s="82"/>
      <c r="AA307" s="82"/>
      <c r="AB307" s="82"/>
      <c r="AC307" s="83"/>
      <c r="AD307" s="82"/>
      <c r="AE307" s="82"/>
      <c r="AF307" s="82"/>
      <c r="AG307" s="83"/>
      <c r="AH307" s="82"/>
      <c r="AI307" s="82"/>
      <c r="AJ307" s="82"/>
      <c r="AK307" s="83"/>
      <c r="AL307" s="82"/>
      <c r="AM307" s="82"/>
      <c r="AN307" s="82"/>
      <c r="AO307" s="82"/>
      <c r="AP307" s="84" t="str">
        <f t="shared" si="2"/>
        <v/>
      </c>
      <c r="AQ307" s="9"/>
      <c r="AR307" s="9"/>
      <c r="AS307" s="8"/>
      <c r="AT307" s="9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8"/>
      <c r="BX307" s="9"/>
      <c r="BY307" s="9"/>
      <c r="BZ307" s="9"/>
      <c r="CA307" s="33"/>
      <c r="CB307" s="85" t="str">
        <f t="shared" si="3"/>
        <v/>
      </c>
      <c r="CC307" s="86" t="str">
        <f t="shared" si="4"/>
        <v/>
      </c>
      <c r="CD307" s="86" t="str">
        <f t="shared" si="5"/>
        <v/>
      </c>
      <c r="CE307" s="86" t="str">
        <f t="shared" si="6"/>
        <v/>
      </c>
      <c r="CF307" s="86" t="str">
        <f t="shared" si="7"/>
        <v/>
      </c>
      <c r="CG307" s="86" t="str">
        <f t="shared" si="8"/>
        <v/>
      </c>
      <c r="CH307" s="86" t="str">
        <f t="shared" si="9"/>
        <v/>
      </c>
      <c r="CI307" s="86" t="str">
        <f t="shared" si="10"/>
        <v/>
      </c>
      <c r="CJ307" s="86" t="str">
        <f t="shared" si="11"/>
        <v/>
      </c>
      <c r="CK307" s="86" t="str">
        <f t="shared" si="12"/>
        <v/>
      </c>
      <c r="CL307" s="86" t="str">
        <f t="shared" si="13"/>
        <v/>
      </c>
      <c r="CM307" s="87" t="str">
        <f t="shared" si="14"/>
        <v/>
      </c>
      <c r="CN307" s="88" t="str">
        <f t="shared" si="26"/>
        <v/>
      </c>
      <c r="CO307" s="88" t="str">
        <f t="shared" si="15"/>
        <v/>
      </c>
      <c r="CP307" s="88" t="str">
        <f t="shared" si="16"/>
        <v/>
      </c>
      <c r="CQ307" s="88" t="str">
        <f t="shared" si="17"/>
        <v/>
      </c>
      <c r="CR307" s="88" t="str">
        <f t="shared" si="18"/>
        <v/>
      </c>
      <c r="CS307" s="88" t="str">
        <f t="shared" si="19"/>
        <v/>
      </c>
      <c r="CT307" s="88" t="str">
        <f t="shared" si="20"/>
        <v/>
      </c>
      <c r="CU307" s="88" t="str">
        <f t="shared" si="21"/>
        <v/>
      </c>
      <c r="CV307" s="88" t="str">
        <f t="shared" si="22"/>
        <v/>
      </c>
      <c r="CW307" s="88" t="str">
        <f t="shared" si="23"/>
        <v/>
      </c>
      <c r="CX307" s="7"/>
      <c r="CY307" s="7"/>
      <c r="CZ307" s="7"/>
      <c r="DA307" s="8"/>
      <c r="DU307" s="93" t="str">
        <f t="shared" si="24"/>
        <v/>
      </c>
      <c r="DV307" s="93" t="str">
        <f>ABA!$A307</f>
        <v/>
      </c>
      <c r="DW307" s="82" t="str">
        <f t="shared" si="25"/>
        <v/>
      </c>
    </row>
    <row r="308" ht="15.75" customHeight="1">
      <c r="A308" s="85"/>
      <c r="B308" s="107"/>
      <c r="C308" s="98"/>
      <c r="D308" s="98"/>
      <c r="E308" s="99"/>
      <c r="F308" s="98"/>
      <c r="G308" s="98"/>
      <c r="H308" s="98"/>
      <c r="I308" s="99"/>
      <c r="J308" s="98"/>
      <c r="K308" s="98"/>
      <c r="L308" s="98"/>
      <c r="M308" s="99"/>
      <c r="N308" s="98"/>
      <c r="O308" s="98"/>
      <c r="P308" s="98"/>
      <c r="Q308" s="99"/>
      <c r="R308" s="98"/>
      <c r="S308" s="98"/>
      <c r="T308" s="98"/>
      <c r="U308" s="99"/>
      <c r="V308" s="98"/>
      <c r="W308" s="98"/>
      <c r="X308" s="98"/>
      <c r="Y308" s="100"/>
      <c r="Z308" s="98"/>
      <c r="AA308" s="98"/>
      <c r="AB308" s="98"/>
      <c r="AC308" s="99"/>
      <c r="AD308" s="98"/>
      <c r="AE308" s="98"/>
      <c r="AF308" s="98"/>
      <c r="AG308" s="99"/>
      <c r="AH308" s="98"/>
      <c r="AI308" s="98"/>
      <c r="AJ308" s="98"/>
      <c r="AK308" s="99"/>
      <c r="AL308" s="98"/>
      <c r="AM308" s="98"/>
      <c r="AN308" s="98"/>
      <c r="AO308" s="98"/>
      <c r="AP308" s="84" t="str">
        <f t="shared" si="2"/>
        <v/>
      </c>
      <c r="AQ308" s="9"/>
      <c r="AR308" s="9"/>
      <c r="AS308" s="8"/>
      <c r="AT308" s="9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8"/>
      <c r="BX308" s="9"/>
      <c r="BY308" s="9"/>
      <c r="BZ308" s="9"/>
      <c r="CA308" s="33"/>
      <c r="CB308" s="85" t="str">
        <f t="shared" si="3"/>
        <v/>
      </c>
      <c r="CC308" s="86" t="str">
        <f t="shared" si="4"/>
        <v/>
      </c>
      <c r="CD308" s="86" t="str">
        <f t="shared" si="5"/>
        <v/>
      </c>
      <c r="CE308" s="86" t="str">
        <f t="shared" si="6"/>
        <v/>
      </c>
      <c r="CF308" s="86" t="str">
        <f t="shared" si="7"/>
        <v/>
      </c>
      <c r="CG308" s="86" t="str">
        <f t="shared" si="8"/>
        <v/>
      </c>
      <c r="CH308" s="86" t="str">
        <f t="shared" si="9"/>
        <v/>
      </c>
      <c r="CI308" s="86" t="str">
        <f t="shared" si="10"/>
        <v/>
      </c>
      <c r="CJ308" s="86" t="str">
        <f t="shared" si="11"/>
        <v/>
      </c>
      <c r="CK308" s="86" t="str">
        <f t="shared" si="12"/>
        <v/>
      </c>
      <c r="CL308" s="86" t="str">
        <f t="shared" si="13"/>
        <v/>
      </c>
      <c r="CM308" s="87" t="str">
        <f t="shared" si="14"/>
        <v/>
      </c>
      <c r="CN308" s="88" t="str">
        <f t="shared" si="26"/>
        <v/>
      </c>
      <c r="CO308" s="88" t="str">
        <f t="shared" si="15"/>
        <v/>
      </c>
      <c r="CP308" s="88" t="str">
        <f t="shared" si="16"/>
        <v/>
      </c>
      <c r="CQ308" s="88" t="str">
        <f t="shared" si="17"/>
        <v/>
      </c>
      <c r="CR308" s="88" t="str">
        <f t="shared" si="18"/>
        <v/>
      </c>
      <c r="CS308" s="88" t="str">
        <f t="shared" si="19"/>
        <v/>
      </c>
      <c r="CT308" s="88" t="str">
        <f t="shared" si="20"/>
        <v/>
      </c>
      <c r="CU308" s="88" t="str">
        <f t="shared" si="21"/>
        <v/>
      </c>
      <c r="CV308" s="88" t="str">
        <f t="shared" si="22"/>
        <v/>
      </c>
      <c r="CW308" s="88" t="str">
        <f t="shared" si="23"/>
        <v/>
      </c>
      <c r="CX308" s="7"/>
      <c r="CY308" s="7"/>
      <c r="CZ308" s="7"/>
      <c r="DA308" s="8"/>
      <c r="DU308" s="104" t="str">
        <f t="shared" si="24"/>
        <v/>
      </c>
      <c r="DV308" s="104" t="str">
        <f>ABA!$A308</f>
        <v/>
      </c>
      <c r="DW308" s="98" t="str">
        <f t="shared" si="25"/>
        <v/>
      </c>
    </row>
    <row r="309" ht="15.75" customHeight="1">
      <c r="A309" s="78"/>
      <c r="B309" s="105"/>
      <c r="C309" s="82"/>
      <c r="D309" s="82"/>
      <c r="E309" s="83"/>
      <c r="F309" s="82"/>
      <c r="G309" s="82"/>
      <c r="H309" s="82"/>
      <c r="I309" s="83"/>
      <c r="J309" s="82"/>
      <c r="K309" s="82"/>
      <c r="L309" s="82"/>
      <c r="M309" s="83"/>
      <c r="N309" s="82"/>
      <c r="O309" s="82"/>
      <c r="P309" s="82"/>
      <c r="Q309" s="83"/>
      <c r="R309" s="82"/>
      <c r="S309" s="82"/>
      <c r="T309" s="82"/>
      <c r="U309" s="83"/>
      <c r="V309" s="82"/>
      <c r="W309" s="82"/>
      <c r="X309" s="82"/>
      <c r="Y309" s="83"/>
      <c r="Z309" s="82"/>
      <c r="AA309" s="82"/>
      <c r="AB309" s="82"/>
      <c r="AC309" s="83"/>
      <c r="AD309" s="82"/>
      <c r="AE309" s="82"/>
      <c r="AF309" s="82"/>
      <c r="AG309" s="83"/>
      <c r="AH309" s="82"/>
      <c r="AI309" s="82"/>
      <c r="AJ309" s="82"/>
      <c r="AK309" s="83"/>
      <c r="AL309" s="82"/>
      <c r="AM309" s="82"/>
      <c r="AN309" s="82"/>
      <c r="AO309" s="82"/>
      <c r="AP309" s="84" t="str">
        <f t="shared" si="2"/>
        <v/>
      </c>
      <c r="AQ309" s="9"/>
      <c r="AR309" s="9"/>
      <c r="AS309" s="8"/>
      <c r="AT309" s="9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8"/>
      <c r="BX309" s="9"/>
      <c r="BY309" s="9"/>
      <c r="BZ309" s="9"/>
      <c r="CA309" s="33"/>
      <c r="CB309" s="85" t="str">
        <f t="shared" si="3"/>
        <v/>
      </c>
      <c r="CC309" s="86" t="str">
        <f t="shared" si="4"/>
        <v/>
      </c>
      <c r="CD309" s="86" t="str">
        <f t="shared" si="5"/>
        <v/>
      </c>
      <c r="CE309" s="86" t="str">
        <f t="shared" si="6"/>
        <v/>
      </c>
      <c r="CF309" s="86" t="str">
        <f t="shared" si="7"/>
        <v/>
      </c>
      <c r="CG309" s="86" t="str">
        <f t="shared" si="8"/>
        <v/>
      </c>
      <c r="CH309" s="86" t="str">
        <f t="shared" si="9"/>
        <v/>
      </c>
      <c r="CI309" s="86" t="str">
        <f t="shared" si="10"/>
        <v/>
      </c>
      <c r="CJ309" s="86" t="str">
        <f t="shared" si="11"/>
        <v/>
      </c>
      <c r="CK309" s="86" t="str">
        <f t="shared" si="12"/>
        <v/>
      </c>
      <c r="CL309" s="86" t="str">
        <f t="shared" si="13"/>
        <v/>
      </c>
      <c r="CM309" s="87" t="str">
        <f t="shared" si="14"/>
        <v/>
      </c>
      <c r="CN309" s="88" t="str">
        <f t="shared" si="26"/>
        <v/>
      </c>
      <c r="CO309" s="88" t="str">
        <f t="shared" si="15"/>
        <v/>
      </c>
      <c r="CP309" s="88" t="str">
        <f t="shared" si="16"/>
        <v/>
      </c>
      <c r="CQ309" s="88" t="str">
        <f t="shared" si="17"/>
        <v/>
      </c>
      <c r="CR309" s="88" t="str">
        <f t="shared" si="18"/>
        <v/>
      </c>
      <c r="CS309" s="88" t="str">
        <f t="shared" si="19"/>
        <v/>
      </c>
      <c r="CT309" s="88" t="str">
        <f t="shared" si="20"/>
        <v/>
      </c>
      <c r="CU309" s="88" t="str">
        <f t="shared" si="21"/>
        <v/>
      </c>
      <c r="CV309" s="88" t="str">
        <f t="shared" si="22"/>
        <v/>
      </c>
      <c r="CW309" s="88" t="str">
        <f t="shared" si="23"/>
        <v/>
      </c>
      <c r="CX309" s="7"/>
      <c r="CY309" s="7"/>
      <c r="CZ309" s="7"/>
      <c r="DA309" s="8"/>
      <c r="DU309" s="93" t="str">
        <f t="shared" si="24"/>
        <v/>
      </c>
      <c r="DV309" s="93" t="str">
        <f>ABA!$A309</f>
        <v/>
      </c>
      <c r="DW309" s="82" t="str">
        <f t="shared" si="25"/>
        <v/>
      </c>
    </row>
    <row r="310" ht="15.75" customHeight="1">
      <c r="A310" s="85"/>
      <c r="B310" s="107"/>
      <c r="C310" s="98"/>
      <c r="D310" s="98"/>
      <c r="E310" s="99"/>
      <c r="F310" s="98"/>
      <c r="G310" s="98"/>
      <c r="H310" s="98"/>
      <c r="I310" s="99"/>
      <c r="J310" s="98"/>
      <c r="K310" s="98"/>
      <c r="L310" s="98"/>
      <c r="M310" s="99"/>
      <c r="N310" s="98"/>
      <c r="O310" s="98"/>
      <c r="P310" s="98"/>
      <c r="Q310" s="99"/>
      <c r="R310" s="98"/>
      <c r="S310" s="98"/>
      <c r="T310" s="98"/>
      <c r="U310" s="99"/>
      <c r="V310" s="98"/>
      <c r="W310" s="98"/>
      <c r="X310" s="98"/>
      <c r="Y310" s="100"/>
      <c r="Z310" s="98"/>
      <c r="AA310" s="98"/>
      <c r="AB310" s="98"/>
      <c r="AC310" s="99"/>
      <c r="AD310" s="98"/>
      <c r="AE310" s="98"/>
      <c r="AF310" s="98"/>
      <c r="AG310" s="99"/>
      <c r="AH310" s="98"/>
      <c r="AI310" s="98"/>
      <c r="AJ310" s="98"/>
      <c r="AK310" s="99"/>
      <c r="AL310" s="98"/>
      <c r="AM310" s="98"/>
      <c r="AN310" s="98"/>
      <c r="AO310" s="98"/>
      <c r="AP310" s="84" t="str">
        <f t="shared" si="2"/>
        <v/>
      </c>
      <c r="AQ310" s="9"/>
      <c r="AR310" s="9"/>
      <c r="AS310" s="8"/>
      <c r="AT310" s="9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8"/>
      <c r="BX310" s="9"/>
      <c r="BY310" s="9"/>
      <c r="BZ310" s="9"/>
      <c r="CA310" s="33"/>
      <c r="CB310" s="85" t="str">
        <f t="shared" si="3"/>
        <v/>
      </c>
      <c r="CC310" s="86" t="str">
        <f t="shared" si="4"/>
        <v/>
      </c>
      <c r="CD310" s="86" t="str">
        <f t="shared" si="5"/>
        <v/>
      </c>
      <c r="CE310" s="86" t="str">
        <f t="shared" si="6"/>
        <v/>
      </c>
      <c r="CF310" s="86" t="str">
        <f t="shared" si="7"/>
        <v/>
      </c>
      <c r="CG310" s="86" t="str">
        <f t="shared" si="8"/>
        <v/>
      </c>
      <c r="CH310" s="86" t="str">
        <f t="shared" si="9"/>
        <v/>
      </c>
      <c r="CI310" s="86" t="str">
        <f t="shared" si="10"/>
        <v/>
      </c>
      <c r="CJ310" s="86" t="str">
        <f t="shared" si="11"/>
        <v/>
      </c>
      <c r="CK310" s="86" t="str">
        <f t="shared" si="12"/>
        <v/>
      </c>
      <c r="CL310" s="86" t="str">
        <f t="shared" si="13"/>
        <v/>
      </c>
      <c r="CM310" s="87" t="str">
        <f t="shared" si="14"/>
        <v/>
      </c>
      <c r="CN310" s="88" t="str">
        <f t="shared" si="26"/>
        <v/>
      </c>
      <c r="CO310" s="88" t="str">
        <f t="shared" si="15"/>
        <v/>
      </c>
      <c r="CP310" s="88" t="str">
        <f t="shared" si="16"/>
        <v/>
      </c>
      <c r="CQ310" s="88" t="str">
        <f t="shared" si="17"/>
        <v/>
      </c>
      <c r="CR310" s="88" t="str">
        <f t="shared" si="18"/>
        <v/>
      </c>
      <c r="CS310" s="88" t="str">
        <f t="shared" si="19"/>
        <v/>
      </c>
      <c r="CT310" s="88" t="str">
        <f t="shared" si="20"/>
        <v/>
      </c>
      <c r="CU310" s="88" t="str">
        <f t="shared" si="21"/>
        <v/>
      </c>
      <c r="CV310" s="88" t="str">
        <f t="shared" si="22"/>
        <v/>
      </c>
      <c r="CW310" s="88" t="str">
        <f t="shared" si="23"/>
        <v/>
      </c>
      <c r="CX310" s="7"/>
      <c r="CY310" s="7"/>
      <c r="CZ310" s="7"/>
      <c r="DA310" s="8"/>
      <c r="DU310" s="93" t="str">
        <f t="shared" si="24"/>
        <v/>
      </c>
      <c r="DV310" s="104" t="str">
        <f>ABA!$A310</f>
        <v/>
      </c>
      <c r="DW310" s="98" t="str">
        <f t="shared" si="25"/>
        <v/>
      </c>
    </row>
    <row r="311" ht="15.75" customHeight="1">
      <c r="A311" s="78"/>
      <c r="B311" s="105"/>
      <c r="C311" s="82"/>
      <c r="D311" s="82"/>
      <c r="E311" s="83"/>
      <c r="F311" s="82"/>
      <c r="G311" s="82"/>
      <c r="H311" s="82"/>
      <c r="I311" s="83"/>
      <c r="J311" s="82"/>
      <c r="K311" s="82"/>
      <c r="L311" s="82"/>
      <c r="M311" s="83"/>
      <c r="N311" s="82"/>
      <c r="O311" s="82"/>
      <c r="P311" s="82"/>
      <c r="Q311" s="83"/>
      <c r="R311" s="82"/>
      <c r="S311" s="82"/>
      <c r="T311" s="82"/>
      <c r="U311" s="83"/>
      <c r="V311" s="82"/>
      <c r="W311" s="82"/>
      <c r="X311" s="82"/>
      <c r="Y311" s="83"/>
      <c r="Z311" s="82"/>
      <c r="AA311" s="82"/>
      <c r="AB311" s="82"/>
      <c r="AC311" s="83"/>
      <c r="AD311" s="82"/>
      <c r="AE311" s="82"/>
      <c r="AF311" s="82"/>
      <c r="AG311" s="83"/>
      <c r="AH311" s="82"/>
      <c r="AI311" s="82"/>
      <c r="AJ311" s="82"/>
      <c r="AK311" s="83"/>
      <c r="AL311" s="82"/>
      <c r="AM311" s="82"/>
      <c r="AN311" s="82"/>
      <c r="AO311" s="82"/>
      <c r="AP311" s="84" t="str">
        <f t="shared" si="2"/>
        <v/>
      </c>
      <c r="AQ311" s="9"/>
      <c r="AR311" s="9"/>
      <c r="AS311" s="8"/>
      <c r="AT311" s="9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8"/>
      <c r="BX311" s="9"/>
      <c r="BY311" s="9"/>
      <c r="BZ311" s="9"/>
      <c r="CA311" s="33"/>
      <c r="CB311" s="85" t="str">
        <f t="shared" si="3"/>
        <v/>
      </c>
      <c r="CC311" s="86" t="str">
        <f t="shared" si="4"/>
        <v/>
      </c>
      <c r="CD311" s="86" t="str">
        <f t="shared" si="5"/>
        <v/>
      </c>
      <c r="CE311" s="86" t="str">
        <f t="shared" si="6"/>
        <v/>
      </c>
      <c r="CF311" s="86" t="str">
        <f t="shared" si="7"/>
        <v/>
      </c>
      <c r="CG311" s="86" t="str">
        <f t="shared" si="8"/>
        <v/>
      </c>
      <c r="CH311" s="86" t="str">
        <f t="shared" si="9"/>
        <v/>
      </c>
      <c r="CI311" s="86" t="str">
        <f t="shared" si="10"/>
        <v/>
      </c>
      <c r="CJ311" s="86" t="str">
        <f t="shared" si="11"/>
        <v/>
      </c>
      <c r="CK311" s="86" t="str">
        <f t="shared" si="12"/>
        <v/>
      </c>
      <c r="CL311" s="86" t="str">
        <f t="shared" si="13"/>
        <v/>
      </c>
      <c r="CM311" s="87" t="str">
        <f t="shared" si="14"/>
        <v/>
      </c>
      <c r="CN311" s="88" t="str">
        <f t="shared" si="26"/>
        <v/>
      </c>
      <c r="CO311" s="88" t="str">
        <f t="shared" si="15"/>
        <v/>
      </c>
      <c r="CP311" s="88" t="str">
        <f t="shared" si="16"/>
        <v/>
      </c>
      <c r="CQ311" s="88" t="str">
        <f t="shared" si="17"/>
        <v/>
      </c>
      <c r="CR311" s="88" t="str">
        <f t="shared" si="18"/>
        <v/>
      </c>
      <c r="CS311" s="88" t="str">
        <f t="shared" si="19"/>
        <v/>
      </c>
      <c r="CT311" s="88" t="str">
        <f t="shared" si="20"/>
        <v/>
      </c>
      <c r="CU311" s="88" t="str">
        <f t="shared" si="21"/>
        <v/>
      </c>
      <c r="CV311" s="88" t="str">
        <f t="shared" si="22"/>
        <v/>
      </c>
      <c r="CW311" s="88" t="str">
        <f t="shared" si="23"/>
        <v/>
      </c>
      <c r="CX311" s="7"/>
      <c r="CY311" s="7"/>
      <c r="CZ311" s="7"/>
      <c r="DA311" s="8"/>
      <c r="DU311" s="104" t="str">
        <f t="shared" si="24"/>
        <v/>
      </c>
      <c r="DV311" s="93" t="str">
        <f>ABA!$A311</f>
        <v/>
      </c>
      <c r="DW311" s="82" t="str">
        <f t="shared" si="25"/>
        <v/>
      </c>
    </row>
    <row r="312" ht="15.75" customHeight="1">
      <c r="A312" s="85"/>
      <c r="B312" s="107"/>
      <c r="C312" s="98"/>
      <c r="D312" s="98"/>
      <c r="E312" s="99"/>
      <c r="F312" s="98"/>
      <c r="G312" s="98"/>
      <c r="H312" s="98"/>
      <c r="I312" s="99"/>
      <c r="J312" s="98"/>
      <c r="K312" s="98"/>
      <c r="L312" s="98"/>
      <c r="M312" s="99"/>
      <c r="N312" s="98"/>
      <c r="O312" s="98"/>
      <c r="P312" s="98"/>
      <c r="Q312" s="99"/>
      <c r="R312" s="98"/>
      <c r="S312" s="98"/>
      <c r="T312" s="98"/>
      <c r="U312" s="99"/>
      <c r="V312" s="98"/>
      <c r="W312" s="98"/>
      <c r="X312" s="98"/>
      <c r="Y312" s="100"/>
      <c r="Z312" s="98"/>
      <c r="AA312" s="98"/>
      <c r="AB312" s="98"/>
      <c r="AC312" s="99"/>
      <c r="AD312" s="98"/>
      <c r="AE312" s="98"/>
      <c r="AF312" s="98"/>
      <c r="AG312" s="99"/>
      <c r="AH312" s="98"/>
      <c r="AI312" s="98"/>
      <c r="AJ312" s="98"/>
      <c r="AK312" s="99"/>
      <c r="AL312" s="98"/>
      <c r="AM312" s="98"/>
      <c r="AN312" s="98"/>
      <c r="AO312" s="98"/>
      <c r="AP312" s="84" t="str">
        <f t="shared" si="2"/>
        <v/>
      </c>
      <c r="AQ312" s="9"/>
      <c r="AR312" s="9"/>
      <c r="AS312" s="8"/>
      <c r="AT312" s="9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8"/>
      <c r="BX312" s="9"/>
      <c r="BY312" s="9"/>
      <c r="BZ312" s="9"/>
      <c r="CA312" s="33"/>
      <c r="CB312" s="85" t="str">
        <f t="shared" si="3"/>
        <v/>
      </c>
      <c r="CC312" s="86" t="str">
        <f t="shared" si="4"/>
        <v/>
      </c>
      <c r="CD312" s="86" t="str">
        <f t="shared" si="5"/>
        <v/>
      </c>
      <c r="CE312" s="86" t="str">
        <f t="shared" si="6"/>
        <v/>
      </c>
      <c r="CF312" s="86" t="str">
        <f t="shared" si="7"/>
        <v/>
      </c>
      <c r="CG312" s="86" t="str">
        <f t="shared" si="8"/>
        <v/>
      </c>
      <c r="CH312" s="86" t="str">
        <f t="shared" si="9"/>
        <v/>
      </c>
      <c r="CI312" s="86" t="str">
        <f t="shared" si="10"/>
        <v/>
      </c>
      <c r="CJ312" s="86" t="str">
        <f t="shared" si="11"/>
        <v/>
      </c>
      <c r="CK312" s="86" t="str">
        <f t="shared" si="12"/>
        <v/>
      </c>
      <c r="CL312" s="86" t="str">
        <f t="shared" si="13"/>
        <v/>
      </c>
      <c r="CM312" s="87" t="str">
        <f t="shared" si="14"/>
        <v/>
      </c>
      <c r="CN312" s="88" t="str">
        <f t="shared" si="26"/>
        <v/>
      </c>
      <c r="CO312" s="88" t="str">
        <f t="shared" si="15"/>
        <v/>
      </c>
      <c r="CP312" s="88" t="str">
        <f t="shared" si="16"/>
        <v/>
      </c>
      <c r="CQ312" s="88" t="str">
        <f t="shared" si="17"/>
        <v/>
      </c>
      <c r="CR312" s="88" t="str">
        <f t="shared" si="18"/>
        <v/>
      </c>
      <c r="CS312" s="88" t="str">
        <f t="shared" si="19"/>
        <v/>
      </c>
      <c r="CT312" s="88" t="str">
        <f t="shared" si="20"/>
        <v/>
      </c>
      <c r="CU312" s="88" t="str">
        <f t="shared" si="21"/>
        <v/>
      </c>
      <c r="CV312" s="88" t="str">
        <f t="shared" si="22"/>
        <v/>
      </c>
      <c r="CW312" s="88" t="str">
        <f t="shared" si="23"/>
        <v/>
      </c>
      <c r="CX312" s="7"/>
      <c r="CY312" s="7"/>
      <c r="CZ312" s="7"/>
      <c r="DA312" s="8"/>
      <c r="DU312" s="93" t="str">
        <f t="shared" si="24"/>
        <v/>
      </c>
      <c r="DV312" s="104" t="str">
        <f>ABA!$A312</f>
        <v/>
      </c>
      <c r="DW312" s="98" t="str">
        <f t="shared" si="25"/>
        <v/>
      </c>
    </row>
    <row r="313" ht="15.75" customHeight="1">
      <c r="A313" s="78"/>
      <c r="B313" s="105"/>
      <c r="C313" s="82"/>
      <c r="D313" s="82"/>
      <c r="E313" s="83"/>
      <c r="F313" s="82"/>
      <c r="G313" s="82"/>
      <c r="H313" s="82"/>
      <c r="I313" s="83"/>
      <c r="J313" s="82"/>
      <c r="K313" s="82"/>
      <c r="L313" s="82"/>
      <c r="M313" s="83"/>
      <c r="N313" s="82"/>
      <c r="O313" s="82"/>
      <c r="P313" s="82"/>
      <c r="Q313" s="83"/>
      <c r="R313" s="82"/>
      <c r="S313" s="82"/>
      <c r="T313" s="82"/>
      <c r="U313" s="83"/>
      <c r="V313" s="82"/>
      <c r="W313" s="82"/>
      <c r="X313" s="82"/>
      <c r="Y313" s="83"/>
      <c r="Z313" s="82"/>
      <c r="AA313" s="82"/>
      <c r="AB313" s="82"/>
      <c r="AC313" s="83"/>
      <c r="AD313" s="82"/>
      <c r="AE313" s="82"/>
      <c r="AF313" s="82"/>
      <c r="AG313" s="83"/>
      <c r="AH313" s="82"/>
      <c r="AI313" s="82"/>
      <c r="AJ313" s="82"/>
      <c r="AK313" s="83"/>
      <c r="AL313" s="82"/>
      <c r="AM313" s="82"/>
      <c r="AN313" s="82"/>
      <c r="AO313" s="82"/>
      <c r="AP313" s="84" t="str">
        <f t="shared" si="2"/>
        <v/>
      </c>
      <c r="AQ313" s="9"/>
      <c r="AR313" s="9"/>
      <c r="AS313" s="8"/>
      <c r="AT313" s="9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8"/>
      <c r="BX313" s="9"/>
      <c r="BY313" s="9"/>
      <c r="BZ313" s="9"/>
      <c r="CA313" s="33"/>
      <c r="CB313" s="85" t="str">
        <f t="shared" si="3"/>
        <v/>
      </c>
      <c r="CC313" s="86" t="str">
        <f t="shared" si="4"/>
        <v/>
      </c>
      <c r="CD313" s="86" t="str">
        <f t="shared" si="5"/>
        <v/>
      </c>
      <c r="CE313" s="86" t="str">
        <f t="shared" si="6"/>
        <v/>
      </c>
      <c r="CF313" s="86" t="str">
        <f t="shared" si="7"/>
        <v/>
      </c>
      <c r="CG313" s="86" t="str">
        <f t="shared" si="8"/>
        <v/>
      </c>
      <c r="CH313" s="86" t="str">
        <f t="shared" si="9"/>
        <v/>
      </c>
      <c r="CI313" s="86" t="str">
        <f t="shared" si="10"/>
        <v/>
      </c>
      <c r="CJ313" s="86" t="str">
        <f t="shared" si="11"/>
        <v/>
      </c>
      <c r="CK313" s="86" t="str">
        <f t="shared" si="12"/>
        <v/>
      </c>
      <c r="CL313" s="86" t="str">
        <f t="shared" si="13"/>
        <v/>
      </c>
      <c r="CM313" s="87" t="str">
        <f t="shared" si="14"/>
        <v/>
      </c>
      <c r="CN313" s="88" t="str">
        <f t="shared" si="26"/>
        <v/>
      </c>
      <c r="CO313" s="88" t="str">
        <f t="shared" si="15"/>
        <v/>
      </c>
      <c r="CP313" s="88" t="str">
        <f t="shared" si="16"/>
        <v/>
      </c>
      <c r="CQ313" s="88" t="str">
        <f t="shared" si="17"/>
        <v/>
      </c>
      <c r="CR313" s="88" t="str">
        <f t="shared" si="18"/>
        <v/>
      </c>
      <c r="CS313" s="88" t="str">
        <f t="shared" si="19"/>
        <v/>
      </c>
      <c r="CT313" s="88" t="str">
        <f t="shared" si="20"/>
        <v/>
      </c>
      <c r="CU313" s="88" t="str">
        <f t="shared" si="21"/>
        <v/>
      </c>
      <c r="CV313" s="88" t="str">
        <f t="shared" si="22"/>
        <v/>
      </c>
      <c r="CW313" s="88" t="str">
        <f t="shared" si="23"/>
        <v/>
      </c>
      <c r="CX313" s="7"/>
      <c r="CY313" s="7"/>
      <c r="CZ313" s="7"/>
      <c r="DA313" s="8"/>
      <c r="DU313" s="104" t="str">
        <f t="shared" si="24"/>
        <v/>
      </c>
      <c r="DV313" s="93" t="str">
        <f>ABA!$A313</f>
        <v/>
      </c>
      <c r="DW313" s="82" t="str">
        <f t="shared" si="25"/>
        <v/>
      </c>
    </row>
    <row r="314" ht="15.75" customHeight="1">
      <c r="A314" s="85"/>
      <c r="B314" s="107"/>
      <c r="C314" s="98"/>
      <c r="D314" s="98"/>
      <c r="E314" s="99"/>
      <c r="F314" s="98"/>
      <c r="G314" s="98"/>
      <c r="H314" s="98"/>
      <c r="I314" s="99"/>
      <c r="J314" s="98"/>
      <c r="K314" s="98"/>
      <c r="L314" s="98"/>
      <c r="M314" s="99"/>
      <c r="N314" s="98"/>
      <c r="O314" s="98"/>
      <c r="P314" s="98"/>
      <c r="Q314" s="99"/>
      <c r="R314" s="98"/>
      <c r="S314" s="98"/>
      <c r="T314" s="98"/>
      <c r="U314" s="99"/>
      <c r="V314" s="98"/>
      <c r="W314" s="98"/>
      <c r="X314" s="98"/>
      <c r="Y314" s="100"/>
      <c r="Z314" s="98"/>
      <c r="AA314" s="98"/>
      <c r="AB314" s="98"/>
      <c r="AC314" s="99"/>
      <c r="AD314" s="98"/>
      <c r="AE314" s="98"/>
      <c r="AF314" s="98"/>
      <c r="AG314" s="99"/>
      <c r="AH314" s="98"/>
      <c r="AI314" s="98"/>
      <c r="AJ314" s="98"/>
      <c r="AK314" s="99"/>
      <c r="AL314" s="98"/>
      <c r="AM314" s="98"/>
      <c r="AN314" s="98"/>
      <c r="AO314" s="98"/>
      <c r="AP314" s="84" t="str">
        <f t="shared" si="2"/>
        <v/>
      </c>
      <c r="AQ314" s="9"/>
      <c r="AR314" s="9"/>
      <c r="AS314" s="8"/>
      <c r="AT314" s="9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8"/>
      <c r="BX314" s="9"/>
      <c r="BY314" s="9"/>
      <c r="BZ314" s="9"/>
      <c r="CA314" s="33"/>
      <c r="CB314" s="85" t="str">
        <f t="shared" si="3"/>
        <v/>
      </c>
      <c r="CC314" s="86" t="str">
        <f t="shared" si="4"/>
        <v/>
      </c>
      <c r="CD314" s="86" t="str">
        <f t="shared" si="5"/>
        <v/>
      </c>
      <c r="CE314" s="86" t="str">
        <f t="shared" si="6"/>
        <v/>
      </c>
      <c r="CF314" s="86" t="str">
        <f t="shared" si="7"/>
        <v/>
      </c>
      <c r="CG314" s="86" t="str">
        <f t="shared" si="8"/>
        <v/>
      </c>
      <c r="CH314" s="86" t="str">
        <f t="shared" si="9"/>
        <v/>
      </c>
      <c r="CI314" s="86" t="str">
        <f t="shared" si="10"/>
        <v/>
      </c>
      <c r="CJ314" s="86" t="str">
        <f t="shared" si="11"/>
        <v/>
      </c>
      <c r="CK314" s="86" t="str">
        <f t="shared" si="12"/>
        <v/>
      </c>
      <c r="CL314" s="86" t="str">
        <f t="shared" si="13"/>
        <v/>
      </c>
      <c r="CM314" s="87" t="str">
        <f t="shared" si="14"/>
        <v/>
      </c>
      <c r="CN314" s="88" t="str">
        <f t="shared" si="26"/>
        <v/>
      </c>
      <c r="CO314" s="88" t="str">
        <f t="shared" si="15"/>
        <v/>
      </c>
      <c r="CP314" s="88" t="str">
        <f t="shared" si="16"/>
        <v/>
      </c>
      <c r="CQ314" s="88" t="str">
        <f t="shared" si="17"/>
        <v/>
      </c>
      <c r="CR314" s="88" t="str">
        <f t="shared" si="18"/>
        <v/>
      </c>
      <c r="CS314" s="88" t="str">
        <f t="shared" si="19"/>
        <v/>
      </c>
      <c r="CT314" s="88" t="str">
        <f t="shared" si="20"/>
        <v/>
      </c>
      <c r="CU314" s="88" t="str">
        <f t="shared" si="21"/>
        <v/>
      </c>
      <c r="CV314" s="88" t="str">
        <f t="shared" si="22"/>
        <v/>
      </c>
      <c r="CW314" s="88" t="str">
        <f t="shared" si="23"/>
        <v/>
      </c>
      <c r="CX314" s="7"/>
      <c r="CY314" s="7"/>
      <c r="CZ314" s="7"/>
      <c r="DA314" s="8"/>
      <c r="DU314" s="93" t="str">
        <f t="shared" si="24"/>
        <v/>
      </c>
      <c r="DV314" s="104" t="str">
        <f>ABA!$A314</f>
        <v/>
      </c>
      <c r="DW314" s="98" t="str">
        <f t="shared" si="25"/>
        <v/>
      </c>
    </row>
    <row r="315" ht="15.75" customHeight="1">
      <c r="A315" s="78"/>
      <c r="B315" s="105"/>
      <c r="C315" s="82"/>
      <c r="D315" s="82"/>
      <c r="E315" s="83"/>
      <c r="F315" s="82"/>
      <c r="G315" s="82"/>
      <c r="H315" s="82"/>
      <c r="I315" s="83"/>
      <c r="J315" s="82"/>
      <c r="K315" s="82"/>
      <c r="L315" s="82"/>
      <c r="M315" s="83"/>
      <c r="N315" s="82"/>
      <c r="O315" s="82"/>
      <c r="P315" s="82"/>
      <c r="Q315" s="83"/>
      <c r="R315" s="82"/>
      <c r="S315" s="82"/>
      <c r="T315" s="82"/>
      <c r="U315" s="83"/>
      <c r="V315" s="82"/>
      <c r="W315" s="82"/>
      <c r="X315" s="82"/>
      <c r="Y315" s="83"/>
      <c r="Z315" s="82"/>
      <c r="AA315" s="82"/>
      <c r="AB315" s="82"/>
      <c r="AC315" s="83"/>
      <c r="AD315" s="82"/>
      <c r="AE315" s="82"/>
      <c r="AF315" s="82"/>
      <c r="AG315" s="83"/>
      <c r="AH315" s="82"/>
      <c r="AI315" s="82"/>
      <c r="AJ315" s="82"/>
      <c r="AK315" s="83"/>
      <c r="AL315" s="82"/>
      <c r="AM315" s="82"/>
      <c r="AN315" s="82"/>
      <c r="AO315" s="82"/>
      <c r="AP315" s="84" t="str">
        <f t="shared" si="2"/>
        <v/>
      </c>
      <c r="AQ315" s="9"/>
      <c r="AR315" s="9"/>
      <c r="AS315" s="8"/>
      <c r="AT315" s="9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8"/>
      <c r="BX315" s="9"/>
      <c r="BY315" s="9"/>
      <c r="BZ315" s="9"/>
      <c r="CA315" s="33"/>
      <c r="CB315" s="85" t="str">
        <f t="shared" si="3"/>
        <v/>
      </c>
      <c r="CC315" s="86" t="str">
        <f t="shared" si="4"/>
        <v/>
      </c>
      <c r="CD315" s="86" t="str">
        <f t="shared" si="5"/>
        <v/>
      </c>
      <c r="CE315" s="86" t="str">
        <f t="shared" si="6"/>
        <v/>
      </c>
      <c r="CF315" s="86" t="str">
        <f t="shared" si="7"/>
        <v/>
      </c>
      <c r="CG315" s="86" t="str">
        <f t="shared" si="8"/>
        <v/>
      </c>
      <c r="CH315" s="86" t="str">
        <f t="shared" si="9"/>
        <v/>
      </c>
      <c r="CI315" s="86" t="str">
        <f t="shared" si="10"/>
        <v/>
      </c>
      <c r="CJ315" s="86" t="str">
        <f t="shared" si="11"/>
        <v/>
      </c>
      <c r="CK315" s="86" t="str">
        <f t="shared" si="12"/>
        <v/>
      </c>
      <c r="CL315" s="86" t="str">
        <f t="shared" si="13"/>
        <v/>
      </c>
      <c r="CM315" s="87" t="str">
        <f t="shared" si="14"/>
        <v/>
      </c>
      <c r="CN315" s="88" t="str">
        <f t="shared" si="26"/>
        <v/>
      </c>
      <c r="CO315" s="88" t="str">
        <f t="shared" si="15"/>
        <v/>
      </c>
      <c r="CP315" s="88" t="str">
        <f t="shared" si="16"/>
        <v/>
      </c>
      <c r="CQ315" s="88" t="str">
        <f t="shared" si="17"/>
        <v/>
      </c>
      <c r="CR315" s="88" t="str">
        <f t="shared" si="18"/>
        <v/>
      </c>
      <c r="CS315" s="88" t="str">
        <f t="shared" si="19"/>
        <v/>
      </c>
      <c r="CT315" s="88" t="str">
        <f t="shared" si="20"/>
        <v/>
      </c>
      <c r="CU315" s="88" t="str">
        <f t="shared" si="21"/>
        <v/>
      </c>
      <c r="CV315" s="88" t="str">
        <f t="shared" si="22"/>
        <v/>
      </c>
      <c r="CW315" s="88" t="str">
        <f t="shared" si="23"/>
        <v/>
      </c>
      <c r="CX315" s="7"/>
      <c r="CY315" s="7"/>
      <c r="CZ315" s="7"/>
      <c r="DA315" s="8"/>
      <c r="DU315" s="104" t="str">
        <f t="shared" si="24"/>
        <v/>
      </c>
      <c r="DV315" s="93" t="str">
        <f>ABA!$A315</f>
        <v/>
      </c>
      <c r="DW315" s="82" t="str">
        <f t="shared" si="25"/>
        <v/>
      </c>
    </row>
    <row r="316" ht="15.75" customHeight="1">
      <c r="A316" s="85"/>
      <c r="B316" s="107"/>
      <c r="C316" s="98"/>
      <c r="D316" s="98"/>
      <c r="E316" s="99"/>
      <c r="F316" s="98"/>
      <c r="G316" s="98"/>
      <c r="H316" s="98"/>
      <c r="I316" s="99"/>
      <c r="J316" s="98"/>
      <c r="K316" s="98"/>
      <c r="L316" s="98"/>
      <c r="M316" s="99"/>
      <c r="N316" s="98"/>
      <c r="O316" s="98"/>
      <c r="P316" s="98"/>
      <c r="Q316" s="99"/>
      <c r="R316" s="98"/>
      <c r="S316" s="98"/>
      <c r="T316" s="98"/>
      <c r="U316" s="99"/>
      <c r="V316" s="98"/>
      <c r="W316" s="98"/>
      <c r="X316" s="98"/>
      <c r="Y316" s="100"/>
      <c r="Z316" s="98"/>
      <c r="AA316" s="98"/>
      <c r="AB316" s="98"/>
      <c r="AC316" s="99"/>
      <c r="AD316" s="98"/>
      <c r="AE316" s="98"/>
      <c r="AF316" s="98"/>
      <c r="AG316" s="99"/>
      <c r="AH316" s="98"/>
      <c r="AI316" s="98"/>
      <c r="AJ316" s="98"/>
      <c r="AK316" s="99"/>
      <c r="AL316" s="98"/>
      <c r="AM316" s="98"/>
      <c r="AN316" s="98"/>
      <c r="AO316" s="98"/>
      <c r="AP316" s="84" t="str">
        <f t="shared" si="2"/>
        <v/>
      </c>
      <c r="AQ316" s="9"/>
      <c r="AR316" s="9"/>
      <c r="AS316" s="8"/>
      <c r="AT316" s="9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8"/>
      <c r="BX316" s="9"/>
      <c r="BY316" s="9"/>
      <c r="BZ316" s="9"/>
      <c r="CA316" s="33"/>
      <c r="CB316" s="85" t="str">
        <f t="shared" si="3"/>
        <v/>
      </c>
      <c r="CC316" s="86" t="str">
        <f t="shared" si="4"/>
        <v/>
      </c>
      <c r="CD316" s="86" t="str">
        <f t="shared" si="5"/>
        <v/>
      </c>
      <c r="CE316" s="86" t="str">
        <f t="shared" si="6"/>
        <v/>
      </c>
      <c r="CF316" s="86" t="str">
        <f t="shared" si="7"/>
        <v/>
      </c>
      <c r="CG316" s="86" t="str">
        <f t="shared" si="8"/>
        <v/>
      </c>
      <c r="CH316" s="86" t="str">
        <f t="shared" si="9"/>
        <v/>
      </c>
      <c r="CI316" s="86" t="str">
        <f t="shared" si="10"/>
        <v/>
      </c>
      <c r="CJ316" s="86" t="str">
        <f t="shared" si="11"/>
        <v/>
      </c>
      <c r="CK316" s="86" t="str">
        <f t="shared" si="12"/>
        <v/>
      </c>
      <c r="CL316" s="86" t="str">
        <f t="shared" si="13"/>
        <v/>
      </c>
      <c r="CM316" s="87" t="str">
        <f t="shared" si="14"/>
        <v/>
      </c>
      <c r="CN316" s="88" t="str">
        <f t="shared" si="26"/>
        <v/>
      </c>
      <c r="CO316" s="88" t="str">
        <f t="shared" si="15"/>
        <v/>
      </c>
      <c r="CP316" s="88" t="str">
        <f t="shared" si="16"/>
        <v/>
      </c>
      <c r="CQ316" s="88" t="str">
        <f t="shared" si="17"/>
        <v/>
      </c>
      <c r="CR316" s="88" t="str">
        <f t="shared" si="18"/>
        <v/>
      </c>
      <c r="CS316" s="88" t="str">
        <f t="shared" si="19"/>
        <v/>
      </c>
      <c r="CT316" s="88" t="str">
        <f t="shared" si="20"/>
        <v/>
      </c>
      <c r="CU316" s="88" t="str">
        <f t="shared" si="21"/>
        <v/>
      </c>
      <c r="CV316" s="88" t="str">
        <f t="shared" si="22"/>
        <v/>
      </c>
      <c r="CW316" s="88" t="str">
        <f t="shared" si="23"/>
        <v/>
      </c>
      <c r="CX316" s="7"/>
      <c r="CY316" s="7"/>
      <c r="CZ316" s="7"/>
      <c r="DA316" s="8"/>
      <c r="DU316" s="93" t="str">
        <f t="shared" si="24"/>
        <v/>
      </c>
      <c r="DV316" s="104" t="str">
        <f>ABA!$A316</f>
        <v/>
      </c>
      <c r="DW316" s="98" t="str">
        <f t="shared" si="25"/>
        <v/>
      </c>
    </row>
    <row r="317" ht="15.75" customHeight="1">
      <c r="A317" s="78"/>
      <c r="B317" s="105"/>
      <c r="C317" s="82"/>
      <c r="D317" s="82"/>
      <c r="E317" s="83"/>
      <c r="F317" s="82"/>
      <c r="G317" s="82"/>
      <c r="H317" s="82"/>
      <c r="I317" s="83"/>
      <c r="J317" s="82"/>
      <c r="K317" s="82"/>
      <c r="L317" s="82"/>
      <c r="M317" s="83"/>
      <c r="N317" s="82"/>
      <c r="O317" s="82"/>
      <c r="P317" s="82"/>
      <c r="Q317" s="83"/>
      <c r="R317" s="82"/>
      <c r="S317" s="82"/>
      <c r="T317" s="82"/>
      <c r="U317" s="83"/>
      <c r="V317" s="82"/>
      <c r="W317" s="82"/>
      <c r="X317" s="82"/>
      <c r="Y317" s="83"/>
      <c r="Z317" s="82"/>
      <c r="AA317" s="82"/>
      <c r="AB317" s="82"/>
      <c r="AC317" s="83"/>
      <c r="AD317" s="82"/>
      <c r="AE317" s="82"/>
      <c r="AF317" s="82"/>
      <c r="AG317" s="83"/>
      <c r="AH317" s="82"/>
      <c r="AI317" s="82"/>
      <c r="AJ317" s="82"/>
      <c r="AK317" s="83"/>
      <c r="AL317" s="82"/>
      <c r="AM317" s="82"/>
      <c r="AN317" s="82"/>
      <c r="AO317" s="82"/>
      <c r="AP317" s="84" t="str">
        <f t="shared" si="2"/>
        <v/>
      </c>
      <c r="AQ317" s="9"/>
      <c r="AR317" s="9"/>
      <c r="AS317" s="8"/>
      <c r="AT317" s="9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8"/>
      <c r="BX317" s="9"/>
      <c r="BY317" s="9"/>
      <c r="BZ317" s="9"/>
      <c r="CA317" s="33"/>
      <c r="CB317" s="85" t="str">
        <f t="shared" si="3"/>
        <v/>
      </c>
      <c r="CC317" s="86" t="str">
        <f t="shared" si="4"/>
        <v/>
      </c>
      <c r="CD317" s="86" t="str">
        <f t="shared" si="5"/>
        <v/>
      </c>
      <c r="CE317" s="86" t="str">
        <f t="shared" si="6"/>
        <v/>
      </c>
      <c r="CF317" s="86" t="str">
        <f t="shared" si="7"/>
        <v/>
      </c>
      <c r="CG317" s="86" t="str">
        <f t="shared" si="8"/>
        <v/>
      </c>
      <c r="CH317" s="86" t="str">
        <f t="shared" si="9"/>
        <v/>
      </c>
      <c r="CI317" s="86" t="str">
        <f t="shared" si="10"/>
        <v/>
      </c>
      <c r="CJ317" s="86" t="str">
        <f t="shared" si="11"/>
        <v/>
      </c>
      <c r="CK317" s="86" t="str">
        <f t="shared" si="12"/>
        <v/>
      </c>
      <c r="CL317" s="86" t="str">
        <f t="shared" si="13"/>
        <v/>
      </c>
      <c r="CM317" s="87" t="str">
        <f t="shared" si="14"/>
        <v/>
      </c>
      <c r="CN317" s="88" t="str">
        <f t="shared" si="26"/>
        <v/>
      </c>
      <c r="CO317" s="88" t="str">
        <f t="shared" si="15"/>
        <v/>
      </c>
      <c r="CP317" s="88" t="str">
        <f t="shared" si="16"/>
        <v/>
      </c>
      <c r="CQ317" s="88" t="str">
        <f t="shared" si="17"/>
        <v/>
      </c>
      <c r="CR317" s="88" t="str">
        <f t="shared" si="18"/>
        <v/>
      </c>
      <c r="CS317" s="88" t="str">
        <f t="shared" si="19"/>
        <v/>
      </c>
      <c r="CT317" s="88" t="str">
        <f t="shared" si="20"/>
        <v/>
      </c>
      <c r="CU317" s="88" t="str">
        <f t="shared" si="21"/>
        <v/>
      </c>
      <c r="CV317" s="88" t="str">
        <f t="shared" si="22"/>
        <v/>
      </c>
      <c r="CW317" s="88" t="str">
        <f t="shared" si="23"/>
        <v/>
      </c>
      <c r="CX317" s="7"/>
      <c r="CY317" s="7"/>
      <c r="CZ317" s="7"/>
      <c r="DA317" s="8"/>
      <c r="DU317" s="104" t="str">
        <f t="shared" si="24"/>
        <v/>
      </c>
      <c r="DV317" s="93" t="str">
        <f>ABA!$A317</f>
        <v/>
      </c>
      <c r="DW317" s="82" t="str">
        <f t="shared" si="25"/>
        <v/>
      </c>
    </row>
    <row r="318" ht="15.75" customHeight="1">
      <c r="A318" s="85"/>
      <c r="B318" s="107"/>
      <c r="C318" s="98"/>
      <c r="D318" s="98"/>
      <c r="E318" s="99"/>
      <c r="F318" s="98"/>
      <c r="G318" s="98"/>
      <c r="H318" s="98"/>
      <c r="I318" s="99"/>
      <c r="J318" s="98"/>
      <c r="K318" s="98"/>
      <c r="L318" s="98"/>
      <c r="M318" s="99"/>
      <c r="N318" s="98"/>
      <c r="O318" s="98"/>
      <c r="P318" s="98"/>
      <c r="Q318" s="99"/>
      <c r="R318" s="98"/>
      <c r="S318" s="98"/>
      <c r="T318" s="98"/>
      <c r="U318" s="99"/>
      <c r="V318" s="98"/>
      <c r="W318" s="98"/>
      <c r="X318" s="98"/>
      <c r="Y318" s="100"/>
      <c r="Z318" s="98"/>
      <c r="AA318" s="98"/>
      <c r="AB318" s="98"/>
      <c r="AC318" s="99"/>
      <c r="AD318" s="98"/>
      <c r="AE318" s="98"/>
      <c r="AF318" s="98"/>
      <c r="AG318" s="99"/>
      <c r="AH318" s="98"/>
      <c r="AI318" s="98"/>
      <c r="AJ318" s="98"/>
      <c r="AK318" s="99"/>
      <c r="AL318" s="98"/>
      <c r="AM318" s="98"/>
      <c r="AN318" s="98"/>
      <c r="AO318" s="98"/>
      <c r="AP318" s="84" t="str">
        <f t="shared" si="2"/>
        <v/>
      </c>
      <c r="AQ318" s="9"/>
      <c r="AR318" s="9"/>
      <c r="AS318" s="8"/>
      <c r="AT318" s="9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8"/>
      <c r="BX318" s="9"/>
      <c r="BY318" s="9"/>
      <c r="BZ318" s="9"/>
      <c r="CA318" s="33"/>
      <c r="CB318" s="85" t="str">
        <f t="shared" si="3"/>
        <v/>
      </c>
      <c r="CC318" s="86" t="str">
        <f t="shared" si="4"/>
        <v/>
      </c>
      <c r="CD318" s="86" t="str">
        <f t="shared" si="5"/>
        <v/>
      </c>
      <c r="CE318" s="86" t="str">
        <f t="shared" si="6"/>
        <v/>
      </c>
      <c r="CF318" s="86" t="str">
        <f t="shared" si="7"/>
        <v/>
      </c>
      <c r="CG318" s="86" t="str">
        <f t="shared" si="8"/>
        <v/>
      </c>
      <c r="CH318" s="86" t="str">
        <f t="shared" si="9"/>
        <v/>
      </c>
      <c r="CI318" s="86" t="str">
        <f t="shared" si="10"/>
        <v/>
      </c>
      <c r="CJ318" s="86" t="str">
        <f t="shared" si="11"/>
        <v/>
      </c>
      <c r="CK318" s="86" t="str">
        <f t="shared" si="12"/>
        <v/>
      </c>
      <c r="CL318" s="86" t="str">
        <f t="shared" si="13"/>
        <v/>
      </c>
      <c r="CM318" s="87" t="str">
        <f t="shared" si="14"/>
        <v/>
      </c>
      <c r="CN318" s="88" t="str">
        <f t="shared" si="26"/>
        <v/>
      </c>
      <c r="CO318" s="88" t="str">
        <f t="shared" si="15"/>
        <v/>
      </c>
      <c r="CP318" s="88" t="str">
        <f t="shared" si="16"/>
        <v/>
      </c>
      <c r="CQ318" s="88" t="str">
        <f t="shared" si="17"/>
        <v/>
      </c>
      <c r="CR318" s="88" t="str">
        <f t="shared" si="18"/>
        <v/>
      </c>
      <c r="CS318" s="88" t="str">
        <f t="shared" si="19"/>
        <v/>
      </c>
      <c r="CT318" s="88" t="str">
        <f t="shared" si="20"/>
        <v/>
      </c>
      <c r="CU318" s="88" t="str">
        <f t="shared" si="21"/>
        <v/>
      </c>
      <c r="CV318" s="88" t="str">
        <f t="shared" si="22"/>
        <v/>
      </c>
      <c r="CW318" s="88" t="str">
        <f t="shared" si="23"/>
        <v/>
      </c>
      <c r="CX318" s="7"/>
      <c r="CY318" s="7"/>
      <c r="CZ318" s="7"/>
      <c r="DA318" s="8"/>
      <c r="DU318" s="93" t="str">
        <f t="shared" si="24"/>
        <v/>
      </c>
      <c r="DV318" s="104" t="str">
        <f>ABA!$A318</f>
        <v/>
      </c>
      <c r="DW318" s="98" t="str">
        <f t="shared" si="25"/>
        <v/>
      </c>
    </row>
    <row r="319" ht="15.75" customHeight="1">
      <c r="A319" s="78"/>
      <c r="B319" s="105"/>
      <c r="C319" s="82"/>
      <c r="D319" s="82"/>
      <c r="E319" s="83"/>
      <c r="F319" s="82"/>
      <c r="G319" s="82"/>
      <c r="H319" s="82"/>
      <c r="I319" s="83"/>
      <c r="J319" s="82"/>
      <c r="K319" s="82"/>
      <c r="L319" s="82"/>
      <c r="M319" s="83"/>
      <c r="N319" s="82"/>
      <c r="O319" s="82"/>
      <c r="P319" s="82"/>
      <c r="Q319" s="83"/>
      <c r="R319" s="82"/>
      <c r="S319" s="82"/>
      <c r="T319" s="82"/>
      <c r="U319" s="83"/>
      <c r="V319" s="82"/>
      <c r="W319" s="82"/>
      <c r="X319" s="82"/>
      <c r="Y319" s="83"/>
      <c r="Z319" s="82"/>
      <c r="AA319" s="82"/>
      <c r="AB319" s="82"/>
      <c r="AC319" s="83"/>
      <c r="AD319" s="82"/>
      <c r="AE319" s="82"/>
      <c r="AF319" s="82"/>
      <c r="AG319" s="83"/>
      <c r="AH319" s="82"/>
      <c r="AI319" s="82"/>
      <c r="AJ319" s="82"/>
      <c r="AK319" s="83"/>
      <c r="AL319" s="82"/>
      <c r="AM319" s="82"/>
      <c r="AN319" s="82"/>
      <c r="AO319" s="82"/>
      <c r="AP319" s="84" t="str">
        <f t="shared" si="2"/>
        <v/>
      </c>
      <c r="AQ319" s="9"/>
      <c r="AR319" s="9"/>
      <c r="AS319" s="8"/>
      <c r="AT319" s="9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8"/>
      <c r="BX319" s="9"/>
      <c r="BY319" s="9"/>
      <c r="BZ319" s="9"/>
      <c r="CA319" s="33"/>
      <c r="CB319" s="85" t="str">
        <f t="shared" si="3"/>
        <v/>
      </c>
      <c r="CC319" s="86" t="str">
        <f t="shared" si="4"/>
        <v/>
      </c>
      <c r="CD319" s="86" t="str">
        <f t="shared" si="5"/>
        <v/>
      </c>
      <c r="CE319" s="86" t="str">
        <f t="shared" si="6"/>
        <v/>
      </c>
      <c r="CF319" s="86" t="str">
        <f t="shared" si="7"/>
        <v/>
      </c>
      <c r="CG319" s="86" t="str">
        <f t="shared" si="8"/>
        <v/>
      </c>
      <c r="CH319" s="86" t="str">
        <f t="shared" si="9"/>
        <v/>
      </c>
      <c r="CI319" s="86" t="str">
        <f t="shared" si="10"/>
        <v/>
      </c>
      <c r="CJ319" s="86" t="str">
        <f t="shared" si="11"/>
        <v/>
      </c>
      <c r="CK319" s="86" t="str">
        <f t="shared" si="12"/>
        <v/>
      </c>
      <c r="CL319" s="86" t="str">
        <f t="shared" si="13"/>
        <v/>
      </c>
      <c r="CM319" s="87" t="str">
        <f t="shared" si="14"/>
        <v/>
      </c>
      <c r="CN319" s="88" t="str">
        <f t="shared" si="26"/>
        <v/>
      </c>
      <c r="CO319" s="88" t="str">
        <f t="shared" si="15"/>
        <v/>
      </c>
      <c r="CP319" s="88" t="str">
        <f t="shared" si="16"/>
        <v/>
      </c>
      <c r="CQ319" s="88" t="str">
        <f t="shared" si="17"/>
        <v/>
      </c>
      <c r="CR319" s="88" t="str">
        <f t="shared" si="18"/>
        <v/>
      </c>
      <c r="CS319" s="88" t="str">
        <f t="shared" si="19"/>
        <v/>
      </c>
      <c r="CT319" s="88" t="str">
        <f t="shared" si="20"/>
        <v/>
      </c>
      <c r="CU319" s="88" t="str">
        <f t="shared" si="21"/>
        <v/>
      </c>
      <c r="CV319" s="88" t="str">
        <f t="shared" si="22"/>
        <v/>
      </c>
      <c r="CW319" s="88" t="str">
        <f t="shared" si="23"/>
        <v/>
      </c>
      <c r="CX319" s="7"/>
      <c r="CY319" s="7"/>
      <c r="CZ319" s="7"/>
      <c r="DA319" s="8"/>
      <c r="DU319" s="104" t="str">
        <f t="shared" si="24"/>
        <v/>
      </c>
      <c r="DV319" s="93" t="str">
        <f>ABA!$A319</f>
        <v/>
      </c>
      <c r="DW319" s="82" t="str">
        <f t="shared" si="25"/>
        <v/>
      </c>
    </row>
    <row r="320" ht="15.75" customHeight="1">
      <c r="A320" s="85"/>
      <c r="B320" s="107"/>
      <c r="C320" s="98"/>
      <c r="D320" s="98"/>
      <c r="E320" s="99"/>
      <c r="F320" s="98"/>
      <c r="G320" s="98"/>
      <c r="H320" s="98"/>
      <c r="I320" s="99"/>
      <c r="J320" s="98"/>
      <c r="K320" s="98"/>
      <c r="L320" s="98"/>
      <c r="M320" s="99"/>
      <c r="N320" s="98"/>
      <c r="O320" s="98"/>
      <c r="P320" s="98"/>
      <c r="Q320" s="99"/>
      <c r="R320" s="98"/>
      <c r="S320" s="98"/>
      <c r="T320" s="98"/>
      <c r="U320" s="99"/>
      <c r="V320" s="98"/>
      <c r="W320" s="98"/>
      <c r="X320" s="98"/>
      <c r="Y320" s="100"/>
      <c r="Z320" s="98"/>
      <c r="AA320" s="98"/>
      <c r="AB320" s="98"/>
      <c r="AC320" s="99"/>
      <c r="AD320" s="98"/>
      <c r="AE320" s="98"/>
      <c r="AF320" s="98"/>
      <c r="AG320" s="99"/>
      <c r="AH320" s="98"/>
      <c r="AI320" s="98"/>
      <c r="AJ320" s="98"/>
      <c r="AK320" s="99"/>
      <c r="AL320" s="98"/>
      <c r="AM320" s="98"/>
      <c r="AN320" s="98"/>
      <c r="AO320" s="98"/>
      <c r="AP320" s="84" t="str">
        <f t="shared" si="2"/>
        <v/>
      </c>
      <c r="AQ320" s="9"/>
      <c r="AR320" s="9"/>
      <c r="AS320" s="8"/>
      <c r="AT320" s="9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8"/>
      <c r="BX320" s="9"/>
      <c r="BY320" s="9"/>
      <c r="BZ320" s="9"/>
      <c r="CA320" s="33"/>
      <c r="CB320" s="85" t="str">
        <f t="shared" si="3"/>
        <v/>
      </c>
      <c r="CC320" s="86" t="str">
        <f t="shared" si="4"/>
        <v/>
      </c>
      <c r="CD320" s="86" t="str">
        <f t="shared" si="5"/>
        <v/>
      </c>
      <c r="CE320" s="86" t="str">
        <f t="shared" si="6"/>
        <v/>
      </c>
      <c r="CF320" s="86" t="str">
        <f t="shared" si="7"/>
        <v/>
      </c>
      <c r="CG320" s="86" t="str">
        <f t="shared" si="8"/>
        <v/>
      </c>
      <c r="CH320" s="86" t="str">
        <f t="shared" si="9"/>
        <v/>
      </c>
      <c r="CI320" s="86" t="str">
        <f t="shared" si="10"/>
        <v/>
      </c>
      <c r="CJ320" s="86" t="str">
        <f t="shared" si="11"/>
        <v/>
      </c>
      <c r="CK320" s="86" t="str">
        <f t="shared" si="12"/>
        <v/>
      </c>
      <c r="CL320" s="86" t="str">
        <f t="shared" si="13"/>
        <v/>
      </c>
      <c r="CM320" s="87" t="str">
        <f t="shared" si="14"/>
        <v/>
      </c>
      <c r="CN320" s="88" t="str">
        <f t="shared" si="26"/>
        <v/>
      </c>
      <c r="CO320" s="88" t="str">
        <f t="shared" si="15"/>
        <v/>
      </c>
      <c r="CP320" s="88" t="str">
        <f t="shared" si="16"/>
        <v/>
      </c>
      <c r="CQ320" s="88" t="str">
        <f t="shared" si="17"/>
        <v/>
      </c>
      <c r="CR320" s="88" t="str">
        <f t="shared" si="18"/>
        <v/>
      </c>
      <c r="CS320" s="88" t="str">
        <f t="shared" si="19"/>
        <v/>
      </c>
      <c r="CT320" s="88" t="str">
        <f t="shared" si="20"/>
        <v/>
      </c>
      <c r="CU320" s="88" t="str">
        <f t="shared" si="21"/>
        <v/>
      </c>
      <c r="CV320" s="88" t="str">
        <f t="shared" si="22"/>
        <v/>
      </c>
      <c r="CW320" s="88" t="str">
        <f t="shared" si="23"/>
        <v/>
      </c>
      <c r="CX320" s="7"/>
      <c r="CY320" s="7"/>
      <c r="CZ320" s="7"/>
      <c r="DA320" s="8"/>
      <c r="DU320" s="93" t="str">
        <f t="shared" si="24"/>
        <v/>
      </c>
      <c r="DV320" s="104" t="str">
        <f>ABA!$A320</f>
        <v/>
      </c>
      <c r="DW320" s="98" t="str">
        <f t="shared" si="25"/>
        <v/>
      </c>
    </row>
    <row r="321" ht="15.75" customHeight="1">
      <c r="A321" s="78"/>
      <c r="B321" s="105"/>
      <c r="C321" s="82"/>
      <c r="D321" s="82"/>
      <c r="E321" s="83"/>
      <c r="F321" s="82"/>
      <c r="G321" s="82"/>
      <c r="H321" s="82"/>
      <c r="I321" s="83"/>
      <c r="J321" s="82"/>
      <c r="K321" s="82"/>
      <c r="L321" s="82"/>
      <c r="M321" s="83"/>
      <c r="N321" s="82"/>
      <c r="O321" s="82"/>
      <c r="P321" s="82"/>
      <c r="Q321" s="83"/>
      <c r="R321" s="82"/>
      <c r="S321" s="82"/>
      <c r="T321" s="82"/>
      <c r="U321" s="83"/>
      <c r="V321" s="82"/>
      <c r="W321" s="82"/>
      <c r="X321" s="82"/>
      <c r="Y321" s="83"/>
      <c r="Z321" s="82"/>
      <c r="AA321" s="82"/>
      <c r="AB321" s="82"/>
      <c r="AC321" s="83"/>
      <c r="AD321" s="82"/>
      <c r="AE321" s="82"/>
      <c r="AF321" s="82"/>
      <c r="AG321" s="83"/>
      <c r="AH321" s="82"/>
      <c r="AI321" s="82"/>
      <c r="AJ321" s="82"/>
      <c r="AK321" s="83"/>
      <c r="AL321" s="82"/>
      <c r="AM321" s="82"/>
      <c r="AN321" s="82"/>
      <c r="AO321" s="82"/>
      <c r="AP321" s="84" t="str">
        <f t="shared" si="2"/>
        <v/>
      </c>
      <c r="AQ321" s="9"/>
      <c r="AR321" s="9"/>
      <c r="AS321" s="8"/>
      <c r="AT321" s="9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8"/>
      <c r="BX321" s="9"/>
      <c r="BY321" s="9"/>
      <c r="BZ321" s="9"/>
      <c r="CA321" s="33"/>
      <c r="CB321" s="85" t="str">
        <f t="shared" si="3"/>
        <v/>
      </c>
      <c r="CC321" s="86" t="str">
        <f t="shared" si="4"/>
        <v/>
      </c>
      <c r="CD321" s="86" t="str">
        <f t="shared" si="5"/>
        <v/>
      </c>
      <c r="CE321" s="86" t="str">
        <f t="shared" si="6"/>
        <v/>
      </c>
      <c r="CF321" s="86" t="str">
        <f t="shared" si="7"/>
        <v/>
      </c>
      <c r="CG321" s="86" t="str">
        <f t="shared" si="8"/>
        <v/>
      </c>
      <c r="CH321" s="86" t="str">
        <f t="shared" si="9"/>
        <v/>
      </c>
      <c r="CI321" s="86" t="str">
        <f t="shared" si="10"/>
        <v/>
      </c>
      <c r="CJ321" s="86" t="str">
        <f t="shared" si="11"/>
        <v/>
      </c>
      <c r="CK321" s="86" t="str">
        <f t="shared" si="12"/>
        <v/>
      </c>
      <c r="CL321" s="86" t="str">
        <f t="shared" si="13"/>
        <v/>
      </c>
      <c r="CM321" s="87" t="str">
        <f t="shared" si="14"/>
        <v/>
      </c>
      <c r="CN321" s="88" t="str">
        <f t="shared" si="26"/>
        <v/>
      </c>
      <c r="CO321" s="88" t="str">
        <f t="shared" si="15"/>
        <v/>
      </c>
      <c r="CP321" s="88" t="str">
        <f t="shared" si="16"/>
        <v/>
      </c>
      <c r="CQ321" s="88" t="str">
        <f t="shared" si="17"/>
        <v/>
      </c>
      <c r="CR321" s="88" t="str">
        <f t="shared" si="18"/>
        <v/>
      </c>
      <c r="CS321" s="88" t="str">
        <f t="shared" si="19"/>
        <v/>
      </c>
      <c r="CT321" s="88" t="str">
        <f t="shared" si="20"/>
        <v/>
      </c>
      <c r="CU321" s="88" t="str">
        <f t="shared" si="21"/>
        <v/>
      </c>
      <c r="CV321" s="88" t="str">
        <f t="shared" si="22"/>
        <v/>
      </c>
      <c r="CW321" s="88" t="str">
        <f t="shared" si="23"/>
        <v/>
      </c>
      <c r="CX321" s="7"/>
      <c r="CY321" s="7"/>
      <c r="CZ321" s="7"/>
      <c r="DA321" s="8"/>
      <c r="DU321" s="104" t="str">
        <f t="shared" si="24"/>
        <v/>
      </c>
      <c r="DV321" s="93" t="str">
        <f>ABA!$A321</f>
        <v/>
      </c>
      <c r="DW321" s="82" t="str">
        <f t="shared" si="25"/>
        <v/>
      </c>
    </row>
    <row r="322" ht="15.75" customHeight="1">
      <c r="A322" s="85"/>
      <c r="B322" s="107"/>
      <c r="C322" s="98"/>
      <c r="D322" s="98"/>
      <c r="E322" s="99"/>
      <c r="F322" s="98"/>
      <c r="G322" s="98"/>
      <c r="H322" s="98"/>
      <c r="I322" s="99"/>
      <c r="J322" s="98"/>
      <c r="K322" s="98"/>
      <c r="L322" s="98"/>
      <c r="M322" s="99"/>
      <c r="N322" s="98"/>
      <c r="O322" s="98"/>
      <c r="P322" s="98"/>
      <c r="Q322" s="99"/>
      <c r="R322" s="98"/>
      <c r="S322" s="98"/>
      <c r="T322" s="98"/>
      <c r="U322" s="99"/>
      <c r="V322" s="98"/>
      <c r="W322" s="98"/>
      <c r="X322" s="98"/>
      <c r="Y322" s="100"/>
      <c r="Z322" s="98"/>
      <c r="AA322" s="98"/>
      <c r="AB322" s="98"/>
      <c r="AC322" s="99"/>
      <c r="AD322" s="98"/>
      <c r="AE322" s="98"/>
      <c r="AF322" s="98"/>
      <c r="AG322" s="99"/>
      <c r="AH322" s="98"/>
      <c r="AI322" s="98"/>
      <c r="AJ322" s="98"/>
      <c r="AK322" s="99"/>
      <c r="AL322" s="98"/>
      <c r="AM322" s="98"/>
      <c r="AN322" s="98"/>
      <c r="AO322" s="98"/>
      <c r="AP322" s="84" t="str">
        <f t="shared" si="2"/>
        <v/>
      </c>
      <c r="AQ322" s="9"/>
      <c r="AR322" s="9"/>
      <c r="AS322" s="8"/>
      <c r="AT322" s="9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8"/>
      <c r="BX322" s="9"/>
      <c r="BY322" s="9"/>
      <c r="BZ322" s="9"/>
      <c r="CA322" s="33"/>
      <c r="CB322" s="85" t="str">
        <f t="shared" si="3"/>
        <v/>
      </c>
      <c r="CC322" s="86" t="str">
        <f t="shared" si="4"/>
        <v/>
      </c>
      <c r="CD322" s="86" t="str">
        <f t="shared" si="5"/>
        <v/>
      </c>
      <c r="CE322" s="86" t="str">
        <f t="shared" si="6"/>
        <v/>
      </c>
      <c r="CF322" s="86" t="str">
        <f t="shared" si="7"/>
        <v/>
      </c>
      <c r="CG322" s="86" t="str">
        <f t="shared" si="8"/>
        <v/>
      </c>
      <c r="CH322" s="86" t="str">
        <f t="shared" si="9"/>
        <v/>
      </c>
      <c r="CI322" s="86" t="str">
        <f t="shared" si="10"/>
        <v/>
      </c>
      <c r="CJ322" s="86" t="str">
        <f t="shared" si="11"/>
        <v/>
      </c>
      <c r="CK322" s="86" t="str">
        <f t="shared" si="12"/>
        <v/>
      </c>
      <c r="CL322" s="86" t="str">
        <f t="shared" si="13"/>
        <v/>
      </c>
      <c r="CM322" s="87" t="str">
        <f t="shared" si="14"/>
        <v/>
      </c>
      <c r="CN322" s="88" t="str">
        <f t="shared" si="26"/>
        <v/>
      </c>
      <c r="CO322" s="88" t="str">
        <f t="shared" si="15"/>
        <v/>
      </c>
      <c r="CP322" s="88" t="str">
        <f t="shared" si="16"/>
        <v/>
      </c>
      <c r="CQ322" s="88" t="str">
        <f t="shared" si="17"/>
        <v/>
      </c>
      <c r="CR322" s="88" t="str">
        <f t="shared" si="18"/>
        <v/>
      </c>
      <c r="CS322" s="88" t="str">
        <f t="shared" si="19"/>
        <v/>
      </c>
      <c r="CT322" s="88" t="str">
        <f t="shared" si="20"/>
        <v/>
      </c>
      <c r="CU322" s="88" t="str">
        <f t="shared" si="21"/>
        <v/>
      </c>
      <c r="CV322" s="88" t="str">
        <f t="shared" si="22"/>
        <v/>
      </c>
      <c r="CW322" s="88" t="str">
        <f t="shared" si="23"/>
        <v/>
      </c>
      <c r="CX322" s="7"/>
      <c r="CY322" s="7"/>
      <c r="CZ322" s="7"/>
      <c r="DA322" s="8"/>
      <c r="DU322" s="93" t="str">
        <f t="shared" si="24"/>
        <v/>
      </c>
      <c r="DV322" s="104" t="str">
        <f>ABA!$A322</f>
        <v/>
      </c>
      <c r="DW322" s="98" t="str">
        <f t="shared" si="25"/>
        <v/>
      </c>
    </row>
    <row r="323" ht="15.75" customHeight="1">
      <c r="A323" s="78"/>
      <c r="B323" s="105"/>
      <c r="C323" s="82"/>
      <c r="D323" s="82"/>
      <c r="E323" s="83"/>
      <c r="F323" s="82"/>
      <c r="G323" s="82"/>
      <c r="H323" s="82"/>
      <c r="I323" s="83"/>
      <c r="J323" s="82"/>
      <c r="K323" s="82"/>
      <c r="L323" s="82"/>
      <c r="M323" s="83"/>
      <c r="N323" s="82"/>
      <c r="O323" s="82"/>
      <c r="P323" s="82"/>
      <c r="Q323" s="83"/>
      <c r="R323" s="82"/>
      <c r="S323" s="82"/>
      <c r="T323" s="82"/>
      <c r="U323" s="83"/>
      <c r="V323" s="82"/>
      <c r="W323" s="82"/>
      <c r="X323" s="82"/>
      <c r="Y323" s="83"/>
      <c r="Z323" s="82"/>
      <c r="AA323" s="82"/>
      <c r="AB323" s="82"/>
      <c r="AC323" s="83"/>
      <c r="AD323" s="82"/>
      <c r="AE323" s="82"/>
      <c r="AF323" s="82"/>
      <c r="AG323" s="83"/>
      <c r="AH323" s="82"/>
      <c r="AI323" s="82"/>
      <c r="AJ323" s="82"/>
      <c r="AK323" s="83"/>
      <c r="AL323" s="82"/>
      <c r="AM323" s="82"/>
      <c r="AN323" s="82"/>
      <c r="AO323" s="82"/>
      <c r="AP323" s="84" t="str">
        <f t="shared" si="2"/>
        <v/>
      </c>
      <c r="AQ323" s="9"/>
      <c r="AR323" s="9"/>
      <c r="AS323" s="8"/>
      <c r="AT323" s="9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8"/>
      <c r="BX323" s="9"/>
      <c r="BY323" s="9"/>
      <c r="BZ323" s="9"/>
      <c r="CA323" s="33"/>
      <c r="CB323" s="85" t="str">
        <f t="shared" si="3"/>
        <v/>
      </c>
      <c r="CC323" s="86" t="str">
        <f t="shared" si="4"/>
        <v/>
      </c>
      <c r="CD323" s="86" t="str">
        <f t="shared" si="5"/>
        <v/>
      </c>
      <c r="CE323" s="86" t="str">
        <f t="shared" si="6"/>
        <v/>
      </c>
      <c r="CF323" s="86" t="str">
        <f t="shared" si="7"/>
        <v/>
      </c>
      <c r="CG323" s="86" t="str">
        <f t="shared" si="8"/>
        <v/>
      </c>
      <c r="CH323" s="86" t="str">
        <f t="shared" si="9"/>
        <v/>
      </c>
      <c r="CI323" s="86" t="str">
        <f t="shared" si="10"/>
        <v/>
      </c>
      <c r="CJ323" s="86" t="str">
        <f t="shared" si="11"/>
        <v/>
      </c>
      <c r="CK323" s="86" t="str">
        <f t="shared" si="12"/>
        <v/>
      </c>
      <c r="CL323" s="86" t="str">
        <f t="shared" si="13"/>
        <v/>
      </c>
      <c r="CM323" s="87" t="str">
        <f t="shared" si="14"/>
        <v/>
      </c>
      <c r="CN323" s="88" t="str">
        <f t="shared" si="26"/>
        <v/>
      </c>
      <c r="CO323" s="88" t="str">
        <f t="shared" si="15"/>
        <v/>
      </c>
      <c r="CP323" s="88" t="str">
        <f t="shared" si="16"/>
        <v/>
      </c>
      <c r="CQ323" s="88" t="str">
        <f t="shared" si="17"/>
        <v/>
      </c>
      <c r="CR323" s="88" t="str">
        <f t="shared" si="18"/>
        <v/>
      </c>
      <c r="CS323" s="88" t="str">
        <f t="shared" si="19"/>
        <v/>
      </c>
      <c r="CT323" s="88" t="str">
        <f t="shared" si="20"/>
        <v/>
      </c>
      <c r="CU323" s="88" t="str">
        <f t="shared" si="21"/>
        <v/>
      </c>
      <c r="CV323" s="88" t="str">
        <f t="shared" si="22"/>
        <v/>
      </c>
      <c r="CW323" s="88" t="str">
        <f t="shared" si="23"/>
        <v/>
      </c>
      <c r="CX323" s="7"/>
      <c r="CY323" s="7"/>
      <c r="CZ323" s="7"/>
      <c r="DA323" s="8"/>
      <c r="DU323" s="104" t="str">
        <f t="shared" si="24"/>
        <v/>
      </c>
      <c r="DV323" s="93" t="str">
        <f>ABA!$A323</f>
        <v/>
      </c>
      <c r="DW323" s="82" t="str">
        <f t="shared" si="25"/>
        <v/>
      </c>
    </row>
    <row r="324" ht="15.75" customHeight="1">
      <c r="A324" s="85"/>
      <c r="B324" s="107"/>
      <c r="C324" s="98"/>
      <c r="D324" s="98"/>
      <c r="E324" s="99"/>
      <c r="F324" s="98"/>
      <c r="G324" s="98"/>
      <c r="H324" s="98"/>
      <c r="I324" s="99"/>
      <c r="J324" s="98"/>
      <c r="K324" s="98"/>
      <c r="L324" s="98"/>
      <c r="M324" s="99"/>
      <c r="N324" s="98"/>
      <c r="O324" s="98"/>
      <c r="P324" s="98"/>
      <c r="Q324" s="99"/>
      <c r="R324" s="98"/>
      <c r="S324" s="98"/>
      <c r="T324" s="98"/>
      <c r="U324" s="99"/>
      <c r="V324" s="98"/>
      <c r="W324" s="98"/>
      <c r="X324" s="98"/>
      <c r="Y324" s="100"/>
      <c r="Z324" s="98"/>
      <c r="AA324" s="98"/>
      <c r="AB324" s="98"/>
      <c r="AC324" s="99"/>
      <c r="AD324" s="98"/>
      <c r="AE324" s="98"/>
      <c r="AF324" s="98"/>
      <c r="AG324" s="99"/>
      <c r="AH324" s="98"/>
      <c r="AI324" s="98"/>
      <c r="AJ324" s="98"/>
      <c r="AK324" s="99"/>
      <c r="AL324" s="98"/>
      <c r="AM324" s="98"/>
      <c r="AN324" s="98"/>
      <c r="AO324" s="98"/>
      <c r="AP324" s="84" t="str">
        <f t="shared" si="2"/>
        <v/>
      </c>
      <c r="AQ324" s="9"/>
      <c r="AR324" s="9"/>
      <c r="AS324" s="8"/>
      <c r="AT324" s="9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8"/>
      <c r="BX324" s="9"/>
      <c r="BY324" s="9"/>
      <c r="BZ324" s="9"/>
      <c r="CA324" s="33"/>
      <c r="CB324" s="85" t="str">
        <f t="shared" si="3"/>
        <v/>
      </c>
      <c r="CC324" s="86" t="str">
        <f t="shared" si="4"/>
        <v/>
      </c>
      <c r="CD324" s="86" t="str">
        <f t="shared" si="5"/>
        <v/>
      </c>
      <c r="CE324" s="86" t="str">
        <f t="shared" si="6"/>
        <v/>
      </c>
      <c r="CF324" s="86" t="str">
        <f t="shared" si="7"/>
        <v/>
      </c>
      <c r="CG324" s="86" t="str">
        <f t="shared" si="8"/>
        <v/>
      </c>
      <c r="CH324" s="86" t="str">
        <f t="shared" si="9"/>
        <v/>
      </c>
      <c r="CI324" s="86" t="str">
        <f t="shared" si="10"/>
        <v/>
      </c>
      <c r="CJ324" s="86" t="str">
        <f t="shared" si="11"/>
        <v/>
      </c>
      <c r="CK324" s="86" t="str">
        <f t="shared" si="12"/>
        <v/>
      </c>
      <c r="CL324" s="86" t="str">
        <f t="shared" si="13"/>
        <v/>
      </c>
      <c r="CM324" s="87" t="str">
        <f t="shared" si="14"/>
        <v/>
      </c>
      <c r="CN324" s="88" t="str">
        <f t="shared" si="26"/>
        <v/>
      </c>
      <c r="CO324" s="88" t="str">
        <f t="shared" si="15"/>
        <v/>
      </c>
      <c r="CP324" s="88" t="str">
        <f t="shared" si="16"/>
        <v/>
      </c>
      <c r="CQ324" s="88" t="str">
        <f t="shared" si="17"/>
        <v/>
      </c>
      <c r="CR324" s="88" t="str">
        <f t="shared" si="18"/>
        <v/>
      </c>
      <c r="CS324" s="88" t="str">
        <f t="shared" si="19"/>
        <v/>
      </c>
      <c r="CT324" s="88" t="str">
        <f t="shared" si="20"/>
        <v/>
      </c>
      <c r="CU324" s="88" t="str">
        <f t="shared" si="21"/>
        <v/>
      </c>
      <c r="CV324" s="88" t="str">
        <f t="shared" si="22"/>
        <v/>
      </c>
      <c r="CW324" s="88" t="str">
        <f t="shared" si="23"/>
        <v/>
      </c>
      <c r="CX324" s="7"/>
      <c r="CY324" s="7"/>
      <c r="CZ324" s="7"/>
      <c r="DA324" s="8"/>
      <c r="DU324" s="93" t="str">
        <f t="shared" si="24"/>
        <v/>
      </c>
      <c r="DV324" s="104" t="str">
        <f>ABA!$A324</f>
        <v/>
      </c>
      <c r="DW324" s="98" t="str">
        <f t="shared" si="25"/>
        <v/>
      </c>
    </row>
    <row r="325" ht="15.75" customHeight="1">
      <c r="A325" s="78"/>
      <c r="B325" s="105"/>
      <c r="C325" s="82"/>
      <c r="D325" s="82"/>
      <c r="E325" s="83"/>
      <c r="F325" s="82"/>
      <c r="G325" s="82"/>
      <c r="H325" s="82"/>
      <c r="I325" s="83"/>
      <c r="J325" s="82"/>
      <c r="K325" s="82"/>
      <c r="L325" s="82"/>
      <c r="M325" s="83"/>
      <c r="N325" s="82"/>
      <c r="O325" s="82"/>
      <c r="P325" s="82"/>
      <c r="Q325" s="83"/>
      <c r="R325" s="82"/>
      <c r="S325" s="82"/>
      <c r="T325" s="82"/>
      <c r="U325" s="83"/>
      <c r="V325" s="82"/>
      <c r="W325" s="82"/>
      <c r="X325" s="82"/>
      <c r="Y325" s="83"/>
      <c r="Z325" s="82"/>
      <c r="AA325" s="82"/>
      <c r="AB325" s="82"/>
      <c r="AC325" s="83"/>
      <c r="AD325" s="82"/>
      <c r="AE325" s="82"/>
      <c r="AF325" s="82"/>
      <c r="AG325" s="83"/>
      <c r="AH325" s="82"/>
      <c r="AI325" s="82"/>
      <c r="AJ325" s="82"/>
      <c r="AK325" s="83"/>
      <c r="AL325" s="82"/>
      <c r="AM325" s="82"/>
      <c r="AN325" s="82"/>
      <c r="AO325" s="82"/>
      <c r="AP325" s="84" t="str">
        <f t="shared" si="2"/>
        <v/>
      </c>
      <c r="AQ325" s="9"/>
      <c r="AR325" s="9"/>
      <c r="AS325" s="8"/>
      <c r="AT325" s="9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8"/>
      <c r="BX325" s="9"/>
      <c r="BY325" s="9"/>
      <c r="BZ325" s="9"/>
      <c r="CA325" s="33"/>
      <c r="CB325" s="85" t="str">
        <f t="shared" si="3"/>
        <v/>
      </c>
      <c r="CC325" s="86" t="str">
        <f t="shared" si="4"/>
        <v/>
      </c>
      <c r="CD325" s="86" t="str">
        <f t="shared" si="5"/>
        <v/>
      </c>
      <c r="CE325" s="86" t="str">
        <f t="shared" si="6"/>
        <v/>
      </c>
      <c r="CF325" s="86" t="str">
        <f t="shared" si="7"/>
        <v/>
      </c>
      <c r="CG325" s="86" t="str">
        <f t="shared" si="8"/>
        <v/>
      </c>
      <c r="CH325" s="86" t="str">
        <f t="shared" si="9"/>
        <v/>
      </c>
      <c r="CI325" s="86" t="str">
        <f t="shared" si="10"/>
        <v/>
      </c>
      <c r="CJ325" s="86" t="str">
        <f t="shared" si="11"/>
        <v/>
      </c>
      <c r="CK325" s="86" t="str">
        <f t="shared" si="12"/>
        <v/>
      </c>
      <c r="CL325" s="86" t="str">
        <f t="shared" si="13"/>
        <v/>
      </c>
      <c r="CM325" s="87" t="str">
        <f t="shared" si="14"/>
        <v/>
      </c>
      <c r="CN325" s="88" t="str">
        <f t="shared" si="26"/>
        <v/>
      </c>
      <c r="CO325" s="88" t="str">
        <f t="shared" si="15"/>
        <v/>
      </c>
      <c r="CP325" s="88" t="str">
        <f t="shared" si="16"/>
        <v/>
      </c>
      <c r="CQ325" s="88" t="str">
        <f t="shared" si="17"/>
        <v/>
      </c>
      <c r="CR325" s="88" t="str">
        <f t="shared" si="18"/>
        <v/>
      </c>
      <c r="CS325" s="88" t="str">
        <f t="shared" si="19"/>
        <v/>
      </c>
      <c r="CT325" s="88" t="str">
        <f t="shared" si="20"/>
        <v/>
      </c>
      <c r="CU325" s="88" t="str">
        <f t="shared" si="21"/>
        <v/>
      </c>
      <c r="CV325" s="88" t="str">
        <f t="shared" si="22"/>
        <v/>
      </c>
      <c r="CW325" s="88" t="str">
        <f t="shared" si="23"/>
        <v/>
      </c>
      <c r="CX325" s="7"/>
      <c r="CY325" s="7"/>
      <c r="CZ325" s="7"/>
      <c r="DA325" s="8"/>
      <c r="DU325" s="104" t="str">
        <f t="shared" si="24"/>
        <v/>
      </c>
      <c r="DV325" s="93" t="str">
        <f>ABA!$A325</f>
        <v/>
      </c>
      <c r="DW325" s="82" t="str">
        <f t="shared" si="25"/>
        <v/>
      </c>
    </row>
    <row r="326" ht="15.75" customHeight="1">
      <c r="A326" s="85"/>
      <c r="B326" s="107"/>
      <c r="C326" s="98"/>
      <c r="D326" s="98"/>
      <c r="E326" s="99"/>
      <c r="F326" s="98"/>
      <c r="G326" s="98"/>
      <c r="H326" s="98"/>
      <c r="I326" s="99"/>
      <c r="J326" s="98"/>
      <c r="K326" s="98"/>
      <c r="L326" s="98"/>
      <c r="M326" s="99"/>
      <c r="N326" s="98"/>
      <c r="O326" s="98"/>
      <c r="P326" s="98"/>
      <c r="Q326" s="99"/>
      <c r="R326" s="98"/>
      <c r="S326" s="98"/>
      <c r="T326" s="98"/>
      <c r="U326" s="99"/>
      <c r="V326" s="98"/>
      <c r="W326" s="98"/>
      <c r="X326" s="98"/>
      <c r="Y326" s="100"/>
      <c r="Z326" s="98"/>
      <c r="AA326" s="98"/>
      <c r="AB326" s="98"/>
      <c r="AC326" s="99"/>
      <c r="AD326" s="98"/>
      <c r="AE326" s="98"/>
      <c r="AF326" s="98"/>
      <c r="AG326" s="99"/>
      <c r="AH326" s="98"/>
      <c r="AI326" s="98"/>
      <c r="AJ326" s="98"/>
      <c r="AK326" s="99"/>
      <c r="AL326" s="98"/>
      <c r="AM326" s="98"/>
      <c r="AN326" s="98"/>
      <c r="AO326" s="98"/>
      <c r="AP326" s="84" t="str">
        <f t="shared" si="2"/>
        <v/>
      </c>
      <c r="AQ326" s="9"/>
      <c r="AR326" s="9"/>
      <c r="AS326" s="8"/>
      <c r="AT326" s="9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8"/>
      <c r="BX326" s="9"/>
      <c r="BY326" s="9"/>
      <c r="BZ326" s="9"/>
      <c r="CA326" s="33"/>
      <c r="CB326" s="85" t="str">
        <f t="shared" si="3"/>
        <v/>
      </c>
      <c r="CC326" s="86" t="str">
        <f t="shared" si="4"/>
        <v/>
      </c>
      <c r="CD326" s="86" t="str">
        <f t="shared" si="5"/>
        <v/>
      </c>
      <c r="CE326" s="86" t="str">
        <f t="shared" si="6"/>
        <v/>
      </c>
      <c r="CF326" s="86" t="str">
        <f t="shared" si="7"/>
        <v/>
      </c>
      <c r="CG326" s="86" t="str">
        <f t="shared" si="8"/>
        <v/>
      </c>
      <c r="CH326" s="86" t="str">
        <f t="shared" si="9"/>
        <v/>
      </c>
      <c r="CI326" s="86" t="str">
        <f t="shared" si="10"/>
        <v/>
      </c>
      <c r="CJ326" s="86" t="str">
        <f t="shared" si="11"/>
        <v/>
      </c>
      <c r="CK326" s="86" t="str">
        <f t="shared" si="12"/>
        <v/>
      </c>
      <c r="CL326" s="86" t="str">
        <f t="shared" si="13"/>
        <v/>
      </c>
      <c r="CM326" s="87" t="str">
        <f t="shared" si="14"/>
        <v/>
      </c>
      <c r="CN326" s="88" t="str">
        <f t="shared" si="26"/>
        <v/>
      </c>
      <c r="CO326" s="88" t="str">
        <f t="shared" si="15"/>
        <v/>
      </c>
      <c r="CP326" s="88" t="str">
        <f t="shared" si="16"/>
        <v/>
      </c>
      <c r="CQ326" s="88" t="str">
        <f t="shared" si="17"/>
        <v/>
      </c>
      <c r="CR326" s="88" t="str">
        <f t="shared" si="18"/>
        <v/>
      </c>
      <c r="CS326" s="88" t="str">
        <f t="shared" si="19"/>
        <v/>
      </c>
      <c r="CT326" s="88" t="str">
        <f t="shared" si="20"/>
        <v/>
      </c>
      <c r="CU326" s="88" t="str">
        <f t="shared" si="21"/>
        <v/>
      </c>
      <c r="CV326" s="88" t="str">
        <f t="shared" si="22"/>
        <v/>
      </c>
      <c r="CW326" s="88" t="str">
        <f t="shared" si="23"/>
        <v/>
      </c>
      <c r="CX326" s="7"/>
      <c r="CY326" s="7"/>
      <c r="CZ326" s="7"/>
      <c r="DA326" s="8"/>
      <c r="DU326" s="93" t="str">
        <f t="shared" si="24"/>
        <v/>
      </c>
      <c r="DV326" s="104" t="str">
        <f>ABA!$A326</f>
        <v/>
      </c>
      <c r="DW326" s="98" t="str">
        <f t="shared" si="25"/>
        <v/>
      </c>
    </row>
    <row r="327" ht="15.75" customHeight="1">
      <c r="A327" s="78"/>
      <c r="B327" s="105"/>
      <c r="C327" s="82"/>
      <c r="D327" s="82"/>
      <c r="E327" s="83"/>
      <c r="F327" s="82"/>
      <c r="G327" s="82"/>
      <c r="H327" s="82"/>
      <c r="I327" s="83"/>
      <c r="J327" s="82"/>
      <c r="K327" s="82"/>
      <c r="L327" s="82"/>
      <c r="M327" s="83"/>
      <c r="N327" s="82"/>
      <c r="O327" s="82"/>
      <c r="P327" s="82"/>
      <c r="Q327" s="83"/>
      <c r="R327" s="82"/>
      <c r="S327" s="82"/>
      <c r="T327" s="82"/>
      <c r="U327" s="83"/>
      <c r="V327" s="82"/>
      <c r="W327" s="82"/>
      <c r="X327" s="82"/>
      <c r="Y327" s="83"/>
      <c r="Z327" s="82"/>
      <c r="AA327" s="82"/>
      <c r="AB327" s="82"/>
      <c r="AC327" s="83"/>
      <c r="AD327" s="82"/>
      <c r="AE327" s="82"/>
      <c r="AF327" s="82"/>
      <c r="AG327" s="83"/>
      <c r="AH327" s="82"/>
      <c r="AI327" s="82"/>
      <c r="AJ327" s="82"/>
      <c r="AK327" s="83"/>
      <c r="AL327" s="82"/>
      <c r="AM327" s="82"/>
      <c r="AN327" s="82"/>
      <c r="AO327" s="82"/>
      <c r="AP327" s="84" t="str">
        <f t="shared" si="2"/>
        <v/>
      </c>
      <c r="AQ327" s="9"/>
      <c r="AR327" s="9"/>
      <c r="AS327" s="8"/>
      <c r="AT327" s="9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8"/>
      <c r="BX327" s="9"/>
      <c r="BY327" s="9"/>
      <c r="BZ327" s="9"/>
      <c r="CA327" s="33"/>
      <c r="CB327" s="85" t="str">
        <f t="shared" si="3"/>
        <v/>
      </c>
      <c r="CC327" s="86" t="str">
        <f t="shared" si="4"/>
        <v/>
      </c>
      <c r="CD327" s="86" t="str">
        <f t="shared" si="5"/>
        <v/>
      </c>
      <c r="CE327" s="86" t="str">
        <f t="shared" si="6"/>
        <v/>
      </c>
      <c r="CF327" s="86" t="str">
        <f t="shared" si="7"/>
        <v/>
      </c>
      <c r="CG327" s="86" t="str">
        <f t="shared" si="8"/>
        <v/>
      </c>
      <c r="CH327" s="86" t="str">
        <f t="shared" si="9"/>
        <v/>
      </c>
      <c r="CI327" s="86" t="str">
        <f t="shared" si="10"/>
        <v/>
      </c>
      <c r="CJ327" s="86" t="str">
        <f t="shared" si="11"/>
        <v/>
      </c>
      <c r="CK327" s="86" t="str">
        <f t="shared" si="12"/>
        <v/>
      </c>
      <c r="CL327" s="86" t="str">
        <f t="shared" si="13"/>
        <v/>
      </c>
      <c r="CM327" s="87" t="str">
        <f t="shared" si="14"/>
        <v/>
      </c>
      <c r="CN327" s="88" t="str">
        <f t="shared" si="26"/>
        <v/>
      </c>
      <c r="CO327" s="88" t="str">
        <f t="shared" si="15"/>
        <v/>
      </c>
      <c r="CP327" s="88" t="str">
        <f t="shared" si="16"/>
        <v/>
      </c>
      <c r="CQ327" s="88" t="str">
        <f t="shared" si="17"/>
        <v/>
      </c>
      <c r="CR327" s="88" t="str">
        <f t="shared" si="18"/>
        <v/>
      </c>
      <c r="CS327" s="88" t="str">
        <f t="shared" si="19"/>
        <v/>
      </c>
      <c r="CT327" s="88" t="str">
        <f t="shared" si="20"/>
        <v/>
      </c>
      <c r="CU327" s="88" t="str">
        <f t="shared" si="21"/>
        <v/>
      </c>
      <c r="CV327" s="88" t="str">
        <f t="shared" si="22"/>
        <v/>
      </c>
      <c r="CW327" s="88" t="str">
        <f t="shared" si="23"/>
        <v/>
      </c>
      <c r="CX327" s="7"/>
      <c r="CY327" s="7"/>
      <c r="CZ327" s="7"/>
      <c r="DA327" s="8"/>
      <c r="DU327" s="104" t="str">
        <f t="shared" si="24"/>
        <v/>
      </c>
      <c r="DV327" s="93" t="str">
        <f>ABA!$A327</f>
        <v/>
      </c>
      <c r="DW327" s="82" t="str">
        <f t="shared" si="25"/>
        <v/>
      </c>
    </row>
    <row r="328" ht="15.75" customHeight="1">
      <c r="A328" s="85"/>
      <c r="B328" s="107"/>
      <c r="C328" s="98"/>
      <c r="D328" s="98"/>
      <c r="E328" s="99"/>
      <c r="F328" s="98"/>
      <c r="G328" s="98"/>
      <c r="H328" s="98"/>
      <c r="I328" s="99"/>
      <c r="J328" s="98"/>
      <c r="K328" s="98"/>
      <c r="L328" s="98"/>
      <c r="M328" s="99"/>
      <c r="N328" s="98"/>
      <c r="O328" s="98"/>
      <c r="P328" s="98"/>
      <c r="Q328" s="99"/>
      <c r="R328" s="98"/>
      <c r="S328" s="98"/>
      <c r="T328" s="98"/>
      <c r="U328" s="99"/>
      <c r="V328" s="98"/>
      <c r="W328" s="98"/>
      <c r="X328" s="98"/>
      <c r="Y328" s="100"/>
      <c r="Z328" s="98"/>
      <c r="AA328" s="98"/>
      <c r="AB328" s="98"/>
      <c r="AC328" s="99"/>
      <c r="AD328" s="98"/>
      <c r="AE328" s="98"/>
      <c r="AF328" s="98"/>
      <c r="AG328" s="99"/>
      <c r="AH328" s="98"/>
      <c r="AI328" s="98"/>
      <c r="AJ328" s="98"/>
      <c r="AK328" s="99"/>
      <c r="AL328" s="98"/>
      <c r="AM328" s="98"/>
      <c r="AN328" s="98"/>
      <c r="AO328" s="98"/>
      <c r="AP328" s="84" t="str">
        <f t="shared" si="2"/>
        <v/>
      </c>
      <c r="AQ328" s="9"/>
      <c r="AR328" s="9"/>
      <c r="AS328" s="8"/>
      <c r="AT328" s="9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8"/>
      <c r="BX328" s="9"/>
      <c r="BY328" s="9"/>
      <c r="BZ328" s="9"/>
      <c r="CA328" s="33"/>
      <c r="CB328" s="85" t="str">
        <f t="shared" si="3"/>
        <v/>
      </c>
      <c r="CC328" s="86" t="str">
        <f t="shared" si="4"/>
        <v/>
      </c>
      <c r="CD328" s="86" t="str">
        <f t="shared" si="5"/>
        <v/>
      </c>
      <c r="CE328" s="86" t="str">
        <f t="shared" si="6"/>
        <v/>
      </c>
      <c r="CF328" s="86" t="str">
        <f t="shared" si="7"/>
        <v/>
      </c>
      <c r="CG328" s="86" t="str">
        <f t="shared" si="8"/>
        <v/>
      </c>
      <c r="CH328" s="86" t="str">
        <f t="shared" si="9"/>
        <v/>
      </c>
      <c r="CI328" s="86" t="str">
        <f t="shared" si="10"/>
        <v/>
      </c>
      <c r="CJ328" s="86" t="str">
        <f t="shared" si="11"/>
        <v/>
      </c>
      <c r="CK328" s="86" t="str">
        <f t="shared" si="12"/>
        <v/>
      </c>
      <c r="CL328" s="86" t="str">
        <f t="shared" si="13"/>
        <v/>
      </c>
      <c r="CM328" s="87" t="str">
        <f t="shared" si="14"/>
        <v/>
      </c>
      <c r="CN328" s="88" t="str">
        <f t="shared" si="26"/>
        <v/>
      </c>
      <c r="CO328" s="88" t="str">
        <f t="shared" si="15"/>
        <v/>
      </c>
      <c r="CP328" s="88" t="str">
        <f t="shared" si="16"/>
        <v/>
      </c>
      <c r="CQ328" s="88" t="str">
        <f t="shared" si="17"/>
        <v/>
      </c>
      <c r="CR328" s="88" t="str">
        <f t="shared" si="18"/>
        <v/>
      </c>
      <c r="CS328" s="88" t="str">
        <f t="shared" si="19"/>
        <v/>
      </c>
      <c r="CT328" s="88" t="str">
        <f t="shared" si="20"/>
        <v/>
      </c>
      <c r="CU328" s="88" t="str">
        <f t="shared" si="21"/>
        <v/>
      </c>
      <c r="CV328" s="88" t="str">
        <f t="shared" si="22"/>
        <v/>
      </c>
      <c r="CW328" s="88" t="str">
        <f t="shared" si="23"/>
        <v/>
      </c>
      <c r="CX328" s="7"/>
      <c r="CY328" s="7"/>
      <c r="CZ328" s="7"/>
      <c r="DA328" s="8"/>
      <c r="DU328" s="93" t="str">
        <f t="shared" si="24"/>
        <v/>
      </c>
      <c r="DV328" s="104" t="str">
        <f>ABA!$A328</f>
        <v/>
      </c>
      <c r="DW328" s="98" t="str">
        <f t="shared" si="25"/>
        <v/>
      </c>
    </row>
    <row r="329" ht="15.75" customHeight="1">
      <c r="A329" s="78"/>
      <c r="B329" s="105"/>
      <c r="C329" s="82"/>
      <c r="D329" s="82"/>
      <c r="E329" s="83"/>
      <c r="F329" s="82"/>
      <c r="G329" s="82"/>
      <c r="H329" s="82"/>
      <c r="I329" s="83"/>
      <c r="J329" s="82"/>
      <c r="K329" s="82"/>
      <c r="L329" s="82"/>
      <c r="M329" s="83"/>
      <c r="N329" s="82"/>
      <c r="O329" s="82"/>
      <c r="P329" s="82"/>
      <c r="Q329" s="83"/>
      <c r="R329" s="82"/>
      <c r="S329" s="82"/>
      <c r="T329" s="82"/>
      <c r="U329" s="83"/>
      <c r="V329" s="82"/>
      <c r="W329" s="82"/>
      <c r="X329" s="82"/>
      <c r="Y329" s="83"/>
      <c r="Z329" s="82"/>
      <c r="AA329" s="82"/>
      <c r="AB329" s="82"/>
      <c r="AC329" s="83"/>
      <c r="AD329" s="82"/>
      <c r="AE329" s="82"/>
      <c r="AF329" s="82"/>
      <c r="AG329" s="83"/>
      <c r="AH329" s="82"/>
      <c r="AI329" s="82"/>
      <c r="AJ329" s="82"/>
      <c r="AK329" s="83"/>
      <c r="AL329" s="82"/>
      <c r="AM329" s="82"/>
      <c r="AN329" s="82"/>
      <c r="AO329" s="82"/>
      <c r="AP329" s="84" t="str">
        <f t="shared" si="2"/>
        <v/>
      </c>
      <c r="AQ329" s="9"/>
      <c r="AR329" s="9"/>
      <c r="AS329" s="8"/>
      <c r="AT329" s="9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8"/>
      <c r="BX329" s="9"/>
      <c r="BY329" s="9"/>
      <c r="BZ329" s="9"/>
      <c r="CA329" s="33"/>
      <c r="CB329" s="85" t="str">
        <f t="shared" si="3"/>
        <v/>
      </c>
      <c r="CC329" s="86" t="str">
        <f t="shared" si="4"/>
        <v/>
      </c>
      <c r="CD329" s="86" t="str">
        <f t="shared" si="5"/>
        <v/>
      </c>
      <c r="CE329" s="86" t="str">
        <f t="shared" si="6"/>
        <v/>
      </c>
      <c r="CF329" s="86" t="str">
        <f t="shared" si="7"/>
        <v/>
      </c>
      <c r="CG329" s="86" t="str">
        <f t="shared" si="8"/>
        <v/>
      </c>
      <c r="CH329" s="86" t="str">
        <f t="shared" si="9"/>
        <v/>
      </c>
      <c r="CI329" s="86" t="str">
        <f t="shared" si="10"/>
        <v/>
      </c>
      <c r="CJ329" s="86" t="str">
        <f t="shared" si="11"/>
        <v/>
      </c>
      <c r="CK329" s="86" t="str">
        <f t="shared" si="12"/>
        <v/>
      </c>
      <c r="CL329" s="86" t="str">
        <f t="shared" si="13"/>
        <v/>
      </c>
      <c r="CM329" s="87" t="str">
        <f t="shared" si="14"/>
        <v/>
      </c>
      <c r="CN329" s="88" t="str">
        <f t="shared" si="26"/>
        <v/>
      </c>
      <c r="CO329" s="88" t="str">
        <f t="shared" si="15"/>
        <v/>
      </c>
      <c r="CP329" s="88" t="str">
        <f t="shared" si="16"/>
        <v/>
      </c>
      <c r="CQ329" s="88" t="str">
        <f t="shared" si="17"/>
        <v/>
      </c>
      <c r="CR329" s="88" t="str">
        <f t="shared" si="18"/>
        <v/>
      </c>
      <c r="CS329" s="88" t="str">
        <f t="shared" si="19"/>
        <v/>
      </c>
      <c r="CT329" s="88" t="str">
        <f t="shared" si="20"/>
        <v/>
      </c>
      <c r="CU329" s="88" t="str">
        <f t="shared" si="21"/>
        <v/>
      </c>
      <c r="CV329" s="88" t="str">
        <f t="shared" si="22"/>
        <v/>
      </c>
      <c r="CW329" s="88" t="str">
        <f t="shared" si="23"/>
        <v/>
      </c>
      <c r="CX329" s="7"/>
      <c r="CY329" s="7"/>
      <c r="CZ329" s="7"/>
      <c r="DA329" s="8"/>
      <c r="DU329" s="104" t="str">
        <f t="shared" si="24"/>
        <v/>
      </c>
      <c r="DV329" s="93" t="str">
        <f>ABA!$A329</f>
        <v/>
      </c>
      <c r="DW329" s="82" t="str">
        <f t="shared" si="25"/>
        <v/>
      </c>
    </row>
    <row r="330" ht="15.75" customHeight="1">
      <c r="A330" s="85"/>
      <c r="B330" s="107"/>
      <c r="C330" s="98"/>
      <c r="D330" s="98"/>
      <c r="E330" s="99"/>
      <c r="F330" s="98"/>
      <c r="G330" s="98"/>
      <c r="H330" s="98"/>
      <c r="I330" s="99"/>
      <c r="J330" s="98"/>
      <c r="K330" s="98"/>
      <c r="L330" s="98"/>
      <c r="M330" s="99"/>
      <c r="N330" s="98"/>
      <c r="O330" s="98"/>
      <c r="P330" s="98"/>
      <c r="Q330" s="99"/>
      <c r="R330" s="98"/>
      <c r="S330" s="98"/>
      <c r="T330" s="98"/>
      <c r="U330" s="99"/>
      <c r="V330" s="98"/>
      <c r="W330" s="98"/>
      <c r="X330" s="98"/>
      <c r="Y330" s="100"/>
      <c r="Z330" s="98"/>
      <c r="AA330" s="98"/>
      <c r="AB330" s="98"/>
      <c r="AC330" s="99"/>
      <c r="AD330" s="98"/>
      <c r="AE330" s="98"/>
      <c r="AF330" s="98"/>
      <c r="AG330" s="99"/>
      <c r="AH330" s="98"/>
      <c r="AI330" s="98"/>
      <c r="AJ330" s="98"/>
      <c r="AK330" s="99"/>
      <c r="AL330" s="98"/>
      <c r="AM330" s="98"/>
      <c r="AN330" s="98"/>
      <c r="AO330" s="98"/>
      <c r="AP330" s="84" t="str">
        <f t="shared" si="2"/>
        <v/>
      </c>
      <c r="AQ330" s="9"/>
      <c r="AR330" s="9"/>
      <c r="AS330" s="8"/>
      <c r="AT330" s="9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8"/>
      <c r="BX330" s="9"/>
      <c r="BY330" s="9"/>
      <c r="BZ330" s="9"/>
      <c r="CA330" s="33"/>
      <c r="CB330" s="85" t="str">
        <f t="shared" si="3"/>
        <v/>
      </c>
      <c r="CC330" s="86" t="str">
        <f t="shared" si="4"/>
        <v/>
      </c>
      <c r="CD330" s="86" t="str">
        <f t="shared" si="5"/>
        <v/>
      </c>
      <c r="CE330" s="86" t="str">
        <f t="shared" si="6"/>
        <v/>
      </c>
      <c r="CF330" s="86" t="str">
        <f t="shared" si="7"/>
        <v/>
      </c>
      <c r="CG330" s="86" t="str">
        <f t="shared" si="8"/>
        <v/>
      </c>
      <c r="CH330" s="86" t="str">
        <f t="shared" si="9"/>
        <v/>
      </c>
      <c r="CI330" s="86" t="str">
        <f t="shared" si="10"/>
        <v/>
      </c>
      <c r="CJ330" s="86" t="str">
        <f t="shared" si="11"/>
        <v/>
      </c>
      <c r="CK330" s="86" t="str">
        <f t="shared" si="12"/>
        <v/>
      </c>
      <c r="CL330" s="86" t="str">
        <f t="shared" si="13"/>
        <v/>
      </c>
      <c r="CM330" s="87" t="str">
        <f t="shared" si="14"/>
        <v/>
      </c>
      <c r="CN330" s="88" t="str">
        <f t="shared" si="26"/>
        <v/>
      </c>
      <c r="CO330" s="88" t="str">
        <f t="shared" si="15"/>
        <v/>
      </c>
      <c r="CP330" s="88" t="str">
        <f t="shared" si="16"/>
        <v/>
      </c>
      <c r="CQ330" s="88" t="str">
        <f t="shared" si="17"/>
        <v/>
      </c>
      <c r="CR330" s="88" t="str">
        <f t="shared" si="18"/>
        <v/>
      </c>
      <c r="CS330" s="88" t="str">
        <f t="shared" si="19"/>
        <v/>
      </c>
      <c r="CT330" s="88" t="str">
        <f t="shared" si="20"/>
        <v/>
      </c>
      <c r="CU330" s="88" t="str">
        <f t="shared" si="21"/>
        <v/>
      </c>
      <c r="CV330" s="88" t="str">
        <f t="shared" si="22"/>
        <v/>
      </c>
      <c r="CW330" s="88" t="str">
        <f t="shared" si="23"/>
        <v/>
      </c>
      <c r="CX330" s="7"/>
      <c r="CY330" s="7"/>
      <c r="CZ330" s="7"/>
      <c r="DA330" s="8"/>
      <c r="DU330" s="93" t="str">
        <f t="shared" si="24"/>
        <v/>
      </c>
      <c r="DV330" s="104" t="str">
        <f>ABA!$A330</f>
        <v/>
      </c>
      <c r="DW330" s="98" t="str">
        <f t="shared" si="25"/>
        <v/>
      </c>
    </row>
    <row r="331" ht="15.75" customHeight="1">
      <c r="A331" s="78"/>
      <c r="B331" s="105"/>
      <c r="C331" s="82"/>
      <c r="D331" s="82"/>
      <c r="E331" s="83"/>
      <c r="F331" s="82"/>
      <c r="G331" s="82"/>
      <c r="H331" s="82"/>
      <c r="I331" s="83"/>
      <c r="J331" s="82"/>
      <c r="K331" s="82"/>
      <c r="L331" s="82"/>
      <c r="M331" s="83"/>
      <c r="N331" s="82"/>
      <c r="O331" s="82"/>
      <c r="P331" s="82"/>
      <c r="Q331" s="83"/>
      <c r="R331" s="82"/>
      <c r="S331" s="82"/>
      <c r="T331" s="82"/>
      <c r="U331" s="83"/>
      <c r="V331" s="82"/>
      <c r="W331" s="82"/>
      <c r="X331" s="82"/>
      <c r="Y331" s="83"/>
      <c r="Z331" s="82"/>
      <c r="AA331" s="82"/>
      <c r="AB331" s="82"/>
      <c r="AC331" s="83"/>
      <c r="AD331" s="82"/>
      <c r="AE331" s="82"/>
      <c r="AF331" s="82"/>
      <c r="AG331" s="83"/>
      <c r="AH331" s="82"/>
      <c r="AI331" s="82"/>
      <c r="AJ331" s="82"/>
      <c r="AK331" s="83"/>
      <c r="AL331" s="82"/>
      <c r="AM331" s="82"/>
      <c r="AN331" s="82"/>
      <c r="AO331" s="82"/>
      <c r="AP331" s="84" t="str">
        <f t="shared" si="2"/>
        <v/>
      </c>
      <c r="AQ331" s="9"/>
      <c r="AR331" s="9"/>
      <c r="AS331" s="8"/>
      <c r="AT331" s="9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8"/>
      <c r="BX331" s="9"/>
      <c r="BY331" s="9"/>
      <c r="BZ331" s="9"/>
      <c r="CA331" s="33"/>
      <c r="CB331" s="85" t="str">
        <f t="shared" si="3"/>
        <v/>
      </c>
      <c r="CC331" s="86" t="str">
        <f t="shared" si="4"/>
        <v/>
      </c>
      <c r="CD331" s="86" t="str">
        <f t="shared" si="5"/>
        <v/>
      </c>
      <c r="CE331" s="86" t="str">
        <f t="shared" si="6"/>
        <v/>
      </c>
      <c r="CF331" s="86" t="str">
        <f t="shared" si="7"/>
        <v/>
      </c>
      <c r="CG331" s="86" t="str">
        <f t="shared" si="8"/>
        <v/>
      </c>
      <c r="CH331" s="86" t="str">
        <f t="shared" si="9"/>
        <v/>
      </c>
      <c r="CI331" s="86" t="str">
        <f t="shared" si="10"/>
        <v/>
      </c>
      <c r="CJ331" s="86" t="str">
        <f t="shared" si="11"/>
        <v/>
      </c>
      <c r="CK331" s="86" t="str">
        <f t="shared" si="12"/>
        <v/>
      </c>
      <c r="CL331" s="86" t="str">
        <f t="shared" si="13"/>
        <v/>
      </c>
      <c r="CM331" s="87" t="str">
        <f t="shared" si="14"/>
        <v/>
      </c>
      <c r="CN331" s="88" t="str">
        <f t="shared" si="26"/>
        <v/>
      </c>
      <c r="CO331" s="88" t="str">
        <f t="shared" si="15"/>
        <v/>
      </c>
      <c r="CP331" s="88" t="str">
        <f t="shared" si="16"/>
        <v/>
      </c>
      <c r="CQ331" s="88" t="str">
        <f t="shared" si="17"/>
        <v/>
      </c>
      <c r="CR331" s="88" t="str">
        <f t="shared" si="18"/>
        <v/>
      </c>
      <c r="CS331" s="88" t="str">
        <f t="shared" si="19"/>
        <v/>
      </c>
      <c r="CT331" s="88" t="str">
        <f t="shared" si="20"/>
        <v/>
      </c>
      <c r="CU331" s="88" t="str">
        <f t="shared" si="21"/>
        <v/>
      </c>
      <c r="CV331" s="88" t="str">
        <f t="shared" si="22"/>
        <v/>
      </c>
      <c r="CW331" s="88" t="str">
        <f t="shared" si="23"/>
        <v/>
      </c>
      <c r="CX331" s="7"/>
      <c r="CY331" s="7"/>
      <c r="CZ331" s="7"/>
      <c r="DA331" s="8"/>
      <c r="DU331" s="104" t="str">
        <f t="shared" si="24"/>
        <v/>
      </c>
      <c r="DV331" s="93" t="str">
        <f>ABA!$A331</f>
        <v/>
      </c>
      <c r="DW331" s="82" t="str">
        <f t="shared" si="25"/>
        <v/>
      </c>
    </row>
    <row r="332" ht="15.75" customHeight="1">
      <c r="A332" s="85"/>
      <c r="B332" s="107"/>
      <c r="C332" s="98"/>
      <c r="D332" s="98"/>
      <c r="E332" s="99"/>
      <c r="F332" s="98"/>
      <c r="G332" s="98"/>
      <c r="H332" s="98"/>
      <c r="I332" s="99"/>
      <c r="J332" s="98"/>
      <c r="K332" s="98"/>
      <c r="L332" s="98"/>
      <c r="M332" s="99"/>
      <c r="N332" s="98"/>
      <c r="O332" s="98"/>
      <c r="P332" s="98"/>
      <c r="Q332" s="99"/>
      <c r="R332" s="98"/>
      <c r="S332" s="98"/>
      <c r="T332" s="98"/>
      <c r="U332" s="99"/>
      <c r="V332" s="98"/>
      <c r="W332" s="98"/>
      <c r="X332" s="98"/>
      <c r="Y332" s="100"/>
      <c r="Z332" s="98"/>
      <c r="AA332" s="98"/>
      <c r="AB332" s="98"/>
      <c r="AC332" s="99"/>
      <c r="AD332" s="98"/>
      <c r="AE332" s="98"/>
      <c r="AF332" s="98"/>
      <c r="AG332" s="99"/>
      <c r="AH332" s="98"/>
      <c r="AI332" s="98"/>
      <c r="AJ332" s="98"/>
      <c r="AK332" s="99"/>
      <c r="AL332" s="98"/>
      <c r="AM332" s="98"/>
      <c r="AN332" s="98"/>
      <c r="AO332" s="98"/>
      <c r="AP332" s="84" t="str">
        <f t="shared" si="2"/>
        <v/>
      </c>
      <c r="AQ332" s="9"/>
      <c r="AR332" s="9"/>
      <c r="AS332" s="8"/>
      <c r="AT332" s="9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8"/>
      <c r="BX332" s="9"/>
      <c r="BY332" s="9"/>
      <c r="BZ332" s="9"/>
      <c r="CA332" s="33"/>
      <c r="CB332" s="85" t="str">
        <f t="shared" si="3"/>
        <v/>
      </c>
      <c r="CC332" s="86" t="str">
        <f t="shared" si="4"/>
        <v/>
      </c>
      <c r="CD332" s="86" t="str">
        <f t="shared" si="5"/>
        <v/>
      </c>
      <c r="CE332" s="86" t="str">
        <f t="shared" si="6"/>
        <v/>
      </c>
      <c r="CF332" s="86" t="str">
        <f t="shared" si="7"/>
        <v/>
      </c>
      <c r="CG332" s="86" t="str">
        <f t="shared" si="8"/>
        <v/>
      </c>
      <c r="CH332" s="86" t="str">
        <f t="shared" si="9"/>
        <v/>
      </c>
      <c r="CI332" s="86" t="str">
        <f t="shared" si="10"/>
        <v/>
      </c>
      <c r="CJ332" s="86" t="str">
        <f t="shared" si="11"/>
        <v/>
      </c>
      <c r="CK332" s="86" t="str">
        <f t="shared" si="12"/>
        <v/>
      </c>
      <c r="CL332" s="86" t="str">
        <f t="shared" si="13"/>
        <v/>
      </c>
      <c r="CM332" s="87" t="str">
        <f t="shared" si="14"/>
        <v/>
      </c>
      <c r="CN332" s="88" t="str">
        <f t="shared" si="26"/>
        <v/>
      </c>
      <c r="CO332" s="88" t="str">
        <f t="shared" si="15"/>
        <v/>
      </c>
      <c r="CP332" s="88" t="str">
        <f t="shared" si="16"/>
        <v/>
      </c>
      <c r="CQ332" s="88" t="str">
        <f t="shared" si="17"/>
        <v/>
      </c>
      <c r="CR332" s="88" t="str">
        <f t="shared" si="18"/>
        <v/>
      </c>
      <c r="CS332" s="88" t="str">
        <f t="shared" si="19"/>
        <v/>
      </c>
      <c r="CT332" s="88" t="str">
        <f t="shared" si="20"/>
        <v/>
      </c>
      <c r="CU332" s="88" t="str">
        <f t="shared" si="21"/>
        <v/>
      </c>
      <c r="CV332" s="88" t="str">
        <f t="shared" si="22"/>
        <v/>
      </c>
      <c r="CW332" s="88" t="str">
        <f t="shared" si="23"/>
        <v/>
      </c>
      <c r="CX332" s="7"/>
      <c r="CY332" s="7"/>
      <c r="CZ332" s="7"/>
      <c r="DA332" s="8"/>
      <c r="DU332" s="93" t="str">
        <f t="shared" si="24"/>
        <v/>
      </c>
      <c r="DV332" s="104" t="str">
        <f>ABA!$A332</f>
        <v/>
      </c>
      <c r="DW332" s="98" t="str">
        <f t="shared" si="25"/>
        <v/>
      </c>
    </row>
    <row r="333" ht="15.75" customHeight="1">
      <c r="A333" s="78"/>
      <c r="B333" s="105"/>
      <c r="C333" s="82"/>
      <c r="D333" s="82"/>
      <c r="E333" s="83"/>
      <c r="F333" s="82"/>
      <c r="G333" s="82"/>
      <c r="H333" s="82"/>
      <c r="I333" s="83"/>
      <c r="J333" s="82"/>
      <c r="K333" s="82"/>
      <c r="L333" s="82"/>
      <c r="M333" s="83"/>
      <c r="N333" s="82"/>
      <c r="O333" s="82"/>
      <c r="P333" s="82"/>
      <c r="Q333" s="83"/>
      <c r="R333" s="82"/>
      <c r="S333" s="82"/>
      <c r="T333" s="82"/>
      <c r="U333" s="83"/>
      <c r="V333" s="82"/>
      <c r="W333" s="82"/>
      <c r="X333" s="82"/>
      <c r="Y333" s="83"/>
      <c r="Z333" s="82"/>
      <c r="AA333" s="82"/>
      <c r="AB333" s="82"/>
      <c r="AC333" s="83"/>
      <c r="AD333" s="82"/>
      <c r="AE333" s="82"/>
      <c r="AF333" s="82"/>
      <c r="AG333" s="83"/>
      <c r="AH333" s="82"/>
      <c r="AI333" s="82"/>
      <c r="AJ333" s="82"/>
      <c r="AK333" s="83"/>
      <c r="AL333" s="82"/>
      <c r="AM333" s="82"/>
      <c r="AN333" s="82"/>
      <c r="AO333" s="82"/>
      <c r="AP333" s="84" t="str">
        <f t="shared" si="2"/>
        <v/>
      </c>
      <c r="AQ333" s="9"/>
      <c r="AR333" s="9"/>
      <c r="AS333" s="8"/>
      <c r="AT333" s="9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8"/>
      <c r="BX333" s="9"/>
      <c r="BY333" s="9"/>
      <c r="BZ333" s="9"/>
      <c r="CA333" s="33"/>
      <c r="CB333" s="85" t="str">
        <f t="shared" si="3"/>
        <v/>
      </c>
      <c r="CC333" s="86" t="str">
        <f t="shared" si="4"/>
        <v/>
      </c>
      <c r="CD333" s="86" t="str">
        <f t="shared" si="5"/>
        <v/>
      </c>
      <c r="CE333" s="86" t="str">
        <f t="shared" si="6"/>
        <v/>
      </c>
      <c r="CF333" s="86" t="str">
        <f t="shared" si="7"/>
        <v/>
      </c>
      <c r="CG333" s="86" t="str">
        <f t="shared" si="8"/>
        <v/>
      </c>
      <c r="CH333" s="86" t="str">
        <f t="shared" si="9"/>
        <v/>
      </c>
      <c r="CI333" s="86" t="str">
        <f t="shared" si="10"/>
        <v/>
      </c>
      <c r="CJ333" s="86" t="str">
        <f t="shared" si="11"/>
        <v/>
      </c>
      <c r="CK333" s="86" t="str">
        <f t="shared" si="12"/>
        <v/>
      </c>
      <c r="CL333" s="86" t="str">
        <f t="shared" si="13"/>
        <v/>
      </c>
      <c r="CM333" s="87" t="str">
        <f t="shared" si="14"/>
        <v/>
      </c>
      <c r="CN333" s="88" t="str">
        <f t="shared" si="26"/>
        <v/>
      </c>
      <c r="CO333" s="88" t="str">
        <f t="shared" si="15"/>
        <v/>
      </c>
      <c r="CP333" s="88" t="str">
        <f t="shared" si="16"/>
        <v/>
      </c>
      <c r="CQ333" s="88" t="str">
        <f t="shared" si="17"/>
        <v/>
      </c>
      <c r="CR333" s="88" t="str">
        <f t="shared" si="18"/>
        <v/>
      </c>
      <c r="CS333" s="88" t="str">
        <f t="shared" si="19"/>
        <v/>
      </c>
      <c r="CT333" s="88" t="str">
        <f t="shared" si="20"/>
        <v/>
      </c>
      <c r="CU333" s="88" t="str">
        <f t="shared" si="21"/>
        <v/>
      </c>
      <c r="CV333" s="88" t="str">
        <f t="shared" si="22"/>
        <v/>
      </c>
      <c r="CW333" s="88" t="str">
        <f t="shared" si="23"/>
        <v/>
      </c>
      <c r="CX333" s="7"/>
      <c r="CY333" s="7"/>
      <c r="CZ333" s="7"/>
      <c r="DA333" s="8"/>
      <c r="DU333" s="104" t="str">
        <f t="shared" si="24"/>
        <v/>
      </c>
      <c r="DV333" s="93" t="str">
        <f>ABA!$A333</f>
        <v/>
      </c>
      <c r="DW333" s="82" t="str">
        <f t="shared" si="25"/>
        <v/>
      </c>
    </row>
    <row r="334" ht="15.75" customHeight="1">
      <c r="A334" s="85"/>
      <c r="B334" s="107"/>
      <c r="C334" s="98"/>
      <c r="D334" s="98"/>
      <c r="E334" s="99"/>
      <c r="F334" s="98"/>
      <c r="G334" s="98"/>
      <c r="H334" s="98"/>
      <c r="I334" s="99"/>
      <c r="J334" s="98"/>
      <c r="K334" s="98"/>
      <c r="L334" s="98"/>
      <c r="M334" s="99"/>
      <c r="N334" s="98"/>
      <c r="O334" s="98"/>
      <c r="P334" s="98"/>
      <c r="Q334" s="99"/>
      <c r="R334" s="98"/>
      <c r="S334" s="98"/>
      <c r="T334" s="98"/>
      <c r="U334" s="99"/>
      <c r="V334" s="98"/>
      <c r="W334" s="98"/>
      <c r="X334" s="98"/>
      <c r="Y334" s="100"/>
      <c r="Z334" s="98"/>
      <c r="AA334" s="98"/>
      <c r="AB334" s="98"/>
      <c r="AC334" s="99"/>
      <c r="AD334" s="98"/>
      <c r="AE334" s="98"/>
      <c r="AF334" s="98"/>
      <c r="AG334" s="99"/>
      <c r="AH334" s="98"/>
      <c r="AI334" s="98"/>
      <c r="AJ334" s="98"/>
      <c r="AK334" s="99"/>
      <c r="AL334" s="98"/>
      <c r="AM334" s="98"/>
      <c r="AN334" s="98"/>
      <c r="AO334" s="98"/>
      <c r="AP334" s="84" t="str">
        <f t="shared" si="2"/>
        <v/>
      </c>
      <c r="AQ334" s="9"/>
      <c r="AR334" s="9"/>
      <c r="AS334" s="8"/>
      <c r="AT334" s="9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8"/>
      <c r="BX334" s="9"/>
      <c r="BY334" s="9"/>
      <c r="BZ334" s="9"/>
      <c r="CA334" s="33"/>
      <c r="CB334" s="85" t="str">
        <f t="shared" si="3"/>
        <v/>
      </c>
      <c r="CC334" s="86" t="str">
        <f t="shared" si="4"/>
        <v/>
      </c>
      <c r="CD334" s="86" t="str">
        <f t="shared" si="5"/>
        <v/>
      </c>
      <c r="CE334" s="86" t="str">
        <f t="shared" si="6"/>
        <v/>
      </c>
      <c r="CF334" s="86" t="str">
        <f t="shared" si="7"/>
        <v/>
      </c>
      <c r="CG334" s="86" t="str">
        <f t="shared" si="8"/>
        <v/>
      </c>
      <c r="CH334" s="86" t="str">
        <f t="shared" si="9"/>
        <v/>
      </c>
      <c r="CI334" s="86" t="str">
        <f t="shared" si="10"/>
        <v/>
      </c>
      <c r="CJ334" s="86" t="str">
        <f t="shared" si="11"/>
        <v/>
      </c>
      <c r="CK334" s="86" t="str">
        <f t="shared" si="12"/>
        <v/>
      </c>
      <c r="CL334" s="86" t="str">
        <f t="shared" si="13"/>
        <v/>
      </c>
      <c r="CM334" s="87" t="str">
        <f t="shared" si="14"/>
        <v/>
      </c>
      <c r="CN334" s="88" t="str">
        <f t="shared" si="26"/>
        <v/>
      </c>
      <c r="CO334" s="88" t="str">
        <f t="shared" si="15"/>
        <v/>
      </c>
      <c r="CP334" s="88" t="str">
        <f t="shared" si="16"/>
        <v/>
      </c>
      <c r="CQ334" s="88" t="str">
        <f t="shared" si="17"/>
        <v/>
      </c>
      <c r="CR334" s="88" t="str">
        <f t="shared" si="18"/>
        <v/>
      </c>
      <c r="CS334" s="88" t="str">
        <f t="shared" si="19"/>
        <v/>
      </c>
      <c r="CT334" s="88" t="str">
        <f t="shared" si="20"/>
        <v/>
      </c>
      <c r="CU334" s="88" t="str">
        <f t="shared" si="21"/>
        <v/>
      </c>
      <c r="CV334" s="88" t="str">
        <f t="shared" si="22"/>
        <v/>
      </c>
      <c r="CW334" s="88" t="str">
        <f t="shared" si="23"/>
        <v/>
      </c>
      <c r="CX334" s="7"/>
      <c r="CY334" s="7"/>
      <c r="CZ334" s="7"/>
      <c r="DA334" s="8"/>
      <c r="DU334" s="93" t="str">
        <f t="shared" si="24"/>
        <v/>
      </c>
      <c r="DV334" s="104" t="str">
        <f>ABA!$A334</f>
        <v/>
      </c>
      <c r="DW334" s="98" t="str">
        <f t="shared" si="25"/>
        <v/>
      </c>
    </row>
    <row r="335" ht="15.75" customHeight="1">
      <c r="A335" s="78"/>
      <c r="B335" s="105"/>
      <c r="C335" s="82"/>
      <c r="D335" s="82"/>
      <c r="E335" s="83"/>
      <c r="F335" s="82"/>
      <c r="G335" s="82"/>
      <c r="H335" s="82"/>
      <c r="I335" s="83"/>
      <c r="J335" s="82"/>
      <c r="K335" s="82"/>
      <c r="L335" s="82"/>
      <c r="M335" s="83"/>
      <c r="N335" s="82"/>
      <c r="O335" s="82"/>
      <c r="P335" s="82"/>
      <c r="Q335" s="83"/>
      <c r="R335" s="82"/>
      <c r="S335" s="82"/>
      <c r="T335" s="82"/>
      <c r="U335" s="83"/>
      <c r="V335" s="82"/>
      <c r="W335" s="82"/>
      <c r="X335" s="82"/>
      <c r="Y335" s="83"/>
      <c r="Z335" s="82"/>
      <c r="AA335" s="82"/>
      <c r="AB335" s="82"/>
      <c r="AC335" s="83"/>
      <c r="AD335" s="82"/>
      <c r="AE335" s="82"/>
      <c r="AF335" s="82"/>
      <c r="AG335" s="83"/>
      <c r="AH335" s="82"/>
      <c r="AI335" s="82"/>
      <c r="AJ335" s="82"/>
      <c r="AK335" s="83"/>
      <c r="AL335" s="82"/>
      <c r="AM335" s="82"/>
      <c r="AN335" s="82"/>
      <c r="AO335" s="82"/>
      <c r="AP335" s="84" t="str">
        <f t="shared" si="2"/>
        <v/>
      </c>
      <c r="AQ335" s="9"/>
      <c r="AR335" s="9"/>
      <c r="AS335" s="8"/>
      <c r="AT335" s="9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8"/>
      <c r="BX335" s="9"/>
      <c r="BY335" s="9"/>
      <c r="BZ335" s="9"/>
      <c r="CA335" s="33"/>
      <c r="CB335" s="85" t="str">
        <f t="shared" si="3"/>
        <v/>
      </c>
      <c r="CC335" s="86" t="str">
        <f t="shared" si="4"/>
        <v/>
      </c>
      <c r="CD335" s="86" t="str">
        <f t="shared" si="5"/>
        <v/>
      </c>
      <c r="CE335" s="86" t="str">
        <f t="shared" si="6"/>
        <v/>
      </c>
      <c r="CF335" s="86" t="str">
        <f t="shared" si="7"/>
        <v/>
      </c>
      <c r="CG335" s="86" t="str">
        <f t="shared" si="8"/>
        <v/>
      </c>
      <c r="CH335" s="86" t="str">
        <f t="shared" si="9"/>
        <v/>
      </c>
      <c r="CI335" s="86" t="str">
        <f t="shared" si="10"/>
        <v/>
      </c>
      <c r="CJ335" s="86" t="str">
        <f t="shared" si="11"/>
        <v/>
      </c>
      <c r="CK335" s="86" t="str">
        <f t="shared" si="12"/>
        <v/>
      </c>
      <c r="CL335" s="86" t="str">
        <f t="shared" si="13"/>
        <v/>
      </c>
      <c r="CM335" s="87" t="str">
        <f t="shared" si="14"/>
        <v/>
      </c>
      <c r="CN335" s="88" t="str">
        <f t="shared" si="26"/>
        <v/>
      </c>
      <c r="CO335" s="88" t="str">
        <f t="shared" si="15"/>
        <v/>
      </c>
      <c r="CP335" s="88" t="str">
        <f t="shared" si="16"/>
        <v/>
      </c>
      <c r="CQ335" s="88" t="str">
        <f t="shared" si="17"/>
        <v/>
      </c>
      <c r="CR335" s="88" t="str">
        <f t="shared" si="18"/>
        <v/>
      </c>
      <c r="CS335" s="88" t="str">
        <f t="shared" si="19"/>
        <v/>
      </c>
      <c r="CT335" s="88" t="str">
        <f t="shared" si="20"/>
        <v/>
      </c>
      <c r="CU335" s="88" t="str">
        <f t="shared" si="21"/>
        <v/>
      </c>
      <c r="CV335" s="88" t="str">
        <f t="shared" si="22"/>
        <v/>
      </c>
      <c r="CW335" s="88" t="str">
        <f t="shared" si="23"/>
        <v/>
      </c>
      <c r="CX335" s="7"/>
      <c r="CY335" s="7"/>
      <c r="CZ335" s="7"/>
      <c r="DA335" s="8"/>
      <c r="DU335" s="104" t="str">
        <f t="shared" si="24"/>
        <v/>
      </c>
      <c r="DV335" s="93" t="str">
        <f>ABA!$A335</f>
        <v/>
      </c>
      <c r="DW335" s="82" t="str">
        <f t="shared" si="25"/>
        <v/>
      </c>
    </row>
    <row r="336" ht="15.75" customHeight="1">
      <c r="A336" s="85"/>
      <c r="B336" s="107"/>
      <c r="C336" s="98"/>
      <c r="D336" s="98"/>
      <c r="E336" s="99"/>
      <c r="F336" s="98"/>
      <c r="G336" s="98"/>
      <c r="H336" s="98"/>
      <c r="I336" s="99"/>
      <c r="J336" s="98"/>
      <c r="K336" s="98"/>
      <c r="L336" s="98"/>
      <c r="M336" s="99"/>
      <c r="N336" s="98"/>
      <c r="O336" s="98"/>
      <c r="P336" s="98"/>
      <c r="Q336" s="99"/>
      <c r="R336" s="98"/>
      <c r="S336" s="98"/>
      <c r="T336" s="98"/>
      <c r="U336" s="99"/>
      <c r="V336" s="98"/>
      <c r="W336" s="98"/>
      <c r="X336" s="98"/>
      <c r="Y336" s="100"/>
      <c r="Z336" s="98"/>
      <c r="AA336" s="98"/>
      <c r="AB336" s="98"/>
      <c r="AC336" s="99"/>
      <c r="AD336" s="98"/>
      <c r="AE336" s="98"/>
      <c r="AF336" s="98"/>
      <c r="AG336" s="99"/>
      <c r="AH336" s="98"/>
      <c r="AI336" s="98"/>
      <c r="AJ336" s="98"/>
      <c r="AK336" s="99"/>
      <c r="AL336" s="98"/>
      <c r="AM336" s="98"/>
      <c r="AN336" s="98"/>
      <c r="AO336" s="98"/>
      <c r="AP336" s="84" t="str">
        <f t="shared" si="2"/>
        <v/>
      </c>
      <c r="AQ336" s="9"/>
      <c r="AR336" s="9"/>
      <c r="AS336" s="8"/>
      <c r="AT336" s="9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8"/>
      <c r="BX336" s="9"/>
      <c r="BY336" s="9"/>
      <c r="BZ336" s="9"/>
      <c r="CA336" s="33"/>
      <c r="CB336" s="85" t="str">
        <f t="shared" si="3"/>
        <v/>
      </c>
      <c r="CC336" s="86" t="str">
        <f t="shared" si="4"/>
        <v/>
      </c>
      <c r="CD336" s="86" t="str">
        <f t="shared" si="5"/>
        <v/>
      </c>
      <c r="CE336" s="86" t="str">
        <f t="shared" si="6"/>
        <v/>
      </c>
      <c r="CF336" s="86" t="str">
        <f t="shared" si="7"/>
        <v/>
      </c>
      <c r="CG336" s="86" t="str">
        <f t="shared" si="8"/>
        <v/>
      </c>
      <c r="CH336" s="86" t="str">
        <f t="shared" si="9"/>
        <v/>
      </c>
      <c r="CI336" s="86" t="str">
        <f t="shared" si="10"/>
        <v/>
      </c>
      <c r="CJ336" s="86" t="str">
        <f t="shared" si="11"/>
        <v/>
      </c>
      <c r="CK336" s="86" t="str">
        <f t="shared" si="12"/>
        <v/>
      </c>
      <c r="CL336" s="86" t="str">
        <f t="shared" si="13"/>
        <v/>
      </c>
      <c r="CM336" s="87" t="str">
        <f t="shared" si="14"/>
        <v/>
      </c>
      <c r="CN336" s="88" t="str">
        <f t="shared" si="26"/>
        <v/>
      </c>
      <c r="CO336" s="88" t="str">
        <f t="shared" si="15"/>
        <v/>
      </c>
      <c r="CP336" s="88" t="str">
        <f t="shared" si="16"/>
        <v/>
      </c>
      <c r="CQ336" s="88" t="str">
        <f t="shared" si="17"/>
        <v/>
      </c>
      <c r="CR336" s="88" t="str">
        <f t="shared" si="18"/>
        <v/>
      </c>
      <c r="CS336" s="88" t="str">
        <f t="shared" si="19"/>
        <v/>
      </c>
      <c r="CT336" s="88" t="str">
        <f t="shared" si="20"/>
        <v/>
      </c>
      <c r="CU336" s="88" t="str">
        <f t="shared" si="21"/>
        <v/>
      </c>
      <c r="CV336" s="88" t="str">
        <f t="shared" si="22"/>
        <v/>
      </c>
      <c r="CW336" s="88" t="str">
        <f t="shared" si="23"/>
        <v/>
      </c>
      <c r="CX336" s="7"/>
      <c r="CY336" s="7"/>
      <c r="CZ336" s="7"/>
      <c r="DA336" s="8"/>
      <c r="DU336" s="93" t="str">
        <f t="shared" si="24"/>
        <v/>
      </c>
      <c r="DV336" s="104" t="str">
        <f>ABA!$A336</f>
        <v/>
      </c>
      <c r="DW336" s="98" t="str">
        <f t="shared" si="25"/>
        <v/>
      </c>
    </row>
    <row r="337" ht="15.75" customHeight="1">
      <c r="A337" s="78"/>
      <c r="B337" s="105"/>
      <c r="C337" s="82"/>
      <c r="D337" s="82"/>
      <c r="E337" s="83"/>
      <c r="F337" s="82"/>
      <c r="G337" s="82"/>
      <c r="H337" s="82"/>
      <c r="I337" s="83"/>
      <c r="J337" s="82"/>
      <c r="K337" s="82"/>
      <c r="L337" s="82"/>
      <c r="M337" s="83"/>
      <c r="N337" s="82"/>
      <c r="O337" s="82"/>
      <c r="P337" s="82"/>
      <c r="Q337" s="83"/>
      <c r="R337" s="82"/>
      <c r="S337" s="82"/>
      <c r="T337" s="82"/>
      <c r="U337" s="83"/>
      <c r="V337" s="82"/>
      <c r="W337" s="82"/>
      <c r="X337" s="82"/>
      <c r="Y337" s="83"/>
      <c r="Z337" s="82"/>
      <c r="AA337" s="82"/>
      <c r="AB337" s="82"/>
      <c r="AC337" s="83"/>
      <c r="AD337" s="82"/>
      <c r="AE337" s="82"/>
      <c r="AF337" s="82"/>
      <c r="AG337" s="83"/>
      <c r="AH337" s="82"/>
      <c r="AI337" s="82"/>
      <c r="AJ337" s="82"/>
      <c r="AK337" s="83"/>
      <c r="AL337" s="82"/>
      <c r="AM337" s="82"/>
      <c r="AN337" s="82"/>
      <c r="AO337" s="82"/>
      <c r="AP337" s="84" t="str">
        <f t="shared" si="2"/>
        <v/>
      </c>
      <c r="AQ337" s="9"/>
      <c r="AR337" s="9"/>
      <c r="AS337" s="8"/>
      <c r="AT337" s="9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8"/>
      <c r="BX337" s="9"/>
      <c r="BY337" s="9"/>
      <c r="BZ337" s="9"/>
      <c r="CA337" s="33"/>
      <c r="CB337" s="85" t="str">
        <f t="shared" si="3"/>
        <v/>
      </c>
      <c r="CC337" s="86" t="str">
        <f t="shared" si="4"/>
        <v/>
      </c>
      <c r="CD337" s="86" t="str">
        <f t="shared" si="5"/>
        <v/>
      </c>
      <c r="CE337" s="86" t="str">
        <f t="shared" si="6"/>
        <v/>
      </c>
      <c r="CF337" s="86" t="str">
        <f t="shared" si="7"/>
        <v/>
      </c>
      <c r="CG337" s="86" t="str">
        <f t="shared" si="8"/>
        <v/>
      </c>
      <c r="CH337" s="86" t="str">
        <f t="shared" si="9"/>
        <v/>
      </c>
      <c r="CI337" s="86" t="str">
        <f t="shared" si="10"/>
        <v/>
      </c>
      <c r="CJ337" s="86" t="str">
        <f t="shared" si="11"/>
        <v/>
      </c>
      <c r="CK337" s="86" t="str">
        <f t="shared" si="12"/>
        <v/>
      </c>
      <c r="CL337" s="86" t="str">
        <f t="shared" si="13"/>
        <v/>
      </c>
      <c r="CM337" s="87" t="str">
        <f t="shared" si="14"/>
        <v/>
      </c>
      <c r="CN337" s="88" t="str">
        <f t="shared" si="26"/>
        <v/>
      </c>
      <c r="CO337" s="88" t="str">
        <f t="shared" si="15"/>
        <v/>
      </c>
      <c r="CP337" s="88" t="str">
        <f t="shared" si="16"/>
        <v/>
      </c>
      <c r="CQ337" s="88" t="str">
        <f t="shared" si="17"/>
        <v/>
      </c>
      <c r="CR337" s="88" t="str">
        <f t="shared" si="18"/>
        <v/>
      </c>
      <c r="CS337" s="88" t="str">
        <f t="shared" si="19"/>
        <v/>
      </c>
      <c r="CT337" s="88" t="str">
        <f t="shared" si="20"/>
        <v/>
      </c>
      <c r="CU337" s="88" t="str">
        <f t="shared" si="21"/>
        <v/>
      </c>
      <c r="CV337" s="88" t="str">
        <f t="shared" si="22"/>
        <v/>
      </c>
      <c r="CW337" s="88" t="str">
        <f t="shared" si="23"/>
        <v/>
      </c>
      <c r="CX337" s="7"/>
      <c r="CY337" s="7"/>
      <c r="CZ337" s="7"/>
      <c r="DA337" s="8"/>
      <c r="DU337" s="93" t="str">
        <f t="shared" si="24"/>
        <v/>
      </c>
      <c r="DV337" s="93" t="str">
        <f>ABA!$A337</f>
        <v/>
      </c>
      <c r="DW337" s="82" t="str">
        <f t="shared" si="25"/>
        <v/>
      </c>
    </row>
    <row r="338" ht="15.75" customHeight="1">
      <c r="A338" s="85"/>
      <c r="B338" s="107"/>
      <c r="C338" s="98"/>
      <c r="D338" s="98"/>
      <c r="E338" s="99"/>
      <c r="F338" s="98"/>
      <c r="G338" s="98"/>
      <c r="H338" s="98"/>
      <c r="I338" s="99"/>
      <c r="J338" s="98"/>
      <c r="K338" s="98"/>
      <c r="L338" s="98"/>
      <c r="M338" s="99"/>
      <c r="N338" s="98"/>
      <c r="O338" s="98"/>
      <c r="P338" s="98"/>
      <c r="Q338" s="99"/>
      <c r="R338" s="98"/>
      <c r="S338" s="98"/>
      <c r="T338" s="98"/>
      <c r="U338" s="99"/>
      <c r="V338" s="98"/>
      <c r="W338" s="98"/>
      <c r="X338" s="98"/>
      <c r="Y338" s="100"/>
      <c r="Z338" s="98"/>
      <c r="AA338" s="98"/>
      <c r="AB338" s="98"/>
      <c r="AC338" s="99"/>
      <c r="AD338" s="98"/>
      <c r="AE338" s="98"/>
      <c r="AF338" s="98"/>
      <c r="AG338" s="99"/>
      <c r="AH338" s="98"/>
      <c r="AI338" s="98"/>
      <c r="AJ338" s="98"/>
      <c r="AK338" s="99"/>
      <c r="AL338" s="98"/>
      <c r="AM338" s="98"/>
      <c r="AN338" s="98"/>
      <c r="AO338" s="98"/>
      <c r="AP338" s="84" t="str">
        <f t="shared" si="2"/>
        <v/>
      </c>
      <c r="AQ338" s="9"/>
      <c r="AR338" s="9"/>
      <c r="AS338" s="8"/>
      <c r="AT338" s="9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8"/>
      <c r="BX338" s="9"/>
      <c r="BY338" s="9"/>
      <c r="BZ338" s="9"/>
      <c r="CA338" s="33"/>
      <c r="CB338" s="85" t="str">
        <f t="shared" si="3"/>
        <v/>
      </c>
      <c r="CC338" s="86" t="str">
        <f t="shared" si="4"/>
        <v/>
      </c>
      <c r="CD338" s="86" t="str">
        <f t="shared" si="5"/>
        <v/>
      </c>
      <c r="CE338" s="86" t="str">
        <f t="shared" si="6"/>
        <v/>
      </c>
      <c r="CF338" s="86" t="str">
        <f t="shared" si="7"/>
        <v/>
      </c>
      <c r="CG338" s="86" t="str">
        <f t="shared" si="8"/>
        <v/>
      </c>
      <c r="CH338" s="86" t="str">
        <f t="shared" si="9"/>
        <v/>
      </c>
      <c r="CI338" s="86" t="str">
        <f t="shared" si="10"/>
        <v/>
      </c>
      <c r="CJ338" s="86" t="str">
        <f t="shared" si="11"/>
        <v/>
      </c>
      <c r="CK338" s="86" t="str">
        <f t="shared" si="12"/>
        <v/>
      </c>
      <c r="CL338" s="86" t="str">
        <f t="shared" si="13"/>
        <v/>
      </c>
      <c r="CM338" s="87" t="str">
        <f t="shared" si="14"/>
        <v/>
      </c>
      <c r="CN338" s="88" t="str">
        <f t="shared" si="26"/>
        <v/>
      </c>
      <c r="CO338" s="88" t="str">
        <f t="shared" si="15"/>
        <v/>
      </c>
      <c r="CP338" s="88" t="str">
        <f t="shared" si="16"/>
        <v/>
      </c>
      <c r="CQ338" s="88" t="str">
        <f t="shared" si="17"/>
        <v/>
      </c>
      <c r="CR338" s="88" t="str">
        <f t="shared" si="18"/>
        <v/>
      </c>
      <c r="CS338" s="88" t="str">
        <f t="shared" si="19"/>
        <v/>
      </c>
      <c r="CT338" s="88" t="str">
        <f t="shared" si="20"/>
        <v/>
      </c>
      <c r="CU338" s="88" t="str">
        <f t="shared" si="21"/>
        <v/>
      </c>
      <c r="CV338" s="88" t="str">
        <f t="shared" si="22"/>
        <v/>
      </c>
      <c r="CW338" s="88" t="str">
        <f t="shared" si="23"/>
        <v/>
      </c>
      <c r="CX338" s="7"/>
      <c r="CY338" s="7"/>
      <c r="CZ338" s="7"/>
      <c r="DA338" s="8"/>
      <c r="DU338" s="104" t="str">
        <f t="shared" si="24"/>
        <v/>
      </c>
      <c r="DV338" s="104" t="str">
        <f>ABA!$A338</f>
        <v/>
      </c>
      <c r="DW338" s="98" t="str">
        <f t="shared" si="25"/>
        <v/>
      </c>
    </row>
    <row r="339" ht="15.75" customHeight="1">
      <c r="A339" s="78"/>
      <c r="B339" s="105"/>
      <c r="C339" s="82"/>
      <c r="D339" s="82"/>
      <c r="E339" s="83"/>
      <c r="F339" s="82"/>
      <c r="G339" s="82"/>
      <c r="H339" s="82"/>
      <c r="I339" s="83"/>
      <c r="J339" s="82"/>
      <c r="K339" s="82"/>
      <c r="L339" s="82"/>
      <c r="M339" s="83"/>
      <c r="N339" s="82"/>
      <c r="O339" s="82"/>
      <c r="P339" s="82"/>
      <c r="Q339" s="83"/>
      <c r="R339" s="82"/>
      <c r="S339" s="82"/>
      <c r="T339" s="82"/>
      <c r="U339" s="83"/>
      <c r="V339" s="82"/>
      <c r="W339" s="82"/>
      <c r="X339" s="82"/>
      <c r="Y339" s="83"/>
      <c r="Z339" s="82"/>
      <c r="AA339" s="82"/>
      <c r="AB339" s="82"/>
      <c r="AC339" s="83"/>
      <c r="AD339" s="82"/>
      <c r="AE339" s="82"/>
      <c r="AF339" s="82"/>
      <c r="AG339" s="83"/>
      <c r="AH339" s="82"/>
      <c r="AI339" s="82"/>
      <c r="AJ339" s="82"/>
      <c r="AK339" s="83"/>
      <c r="AL339" s="82"/>
      <c r="AM339" s="82"/>
      <c r="AN339" s="82"/>
      <c r="AO339" s="82"/>
      <c r="AP339" s="84" t="str">
        <f t="shared" si="2"/>
        <v/>
      </c>
      <c r="AQ339" s="9"/>
      <c r="AR339" s="9"/>
      <c r="AS339" s="8"/>
      <c r="AT339" s="9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8"/>
      <c r="BX339" s="9"/>
      <c r="BY339" s="9"/>
      <c r="BZ339" s="9"/>
      <c r="CA339" s="33"/>
      <c r="CB339" s="85" t="str">
        <f t="shared" si="3"/>
        <v/>
      </c>
      <c r="CC339" s="86" t="str">
        <f t="shared" si="4"/>
        <v/>
      </c>
      <c r="CD339" s="86" t="str">
        <f t="shared" si="5"/>
        <v/>
      </c>
      <c r="CE339" s="86" t="str">
        <f t="shared" si="6"/>
        <v/>
      </c>
      <c r="CF339" s="86" t="str">
        <f t="shared" si="7"/>
        <v/>
      </c>
      <c r="CG339" s="86" t="str">
        <f t="shared" si="8"/>
        <v/>
      </c>
      <c r="CH339" s="86" t="str">
        <f t="shared" si="9"/>
        <v/>
      </c>
      <c r="CI339" s="86" t="str">
        <f t="shared" si="10"/>
        <v/>
      </c>
      <c r="CJ339" s="86" t="str">
        <f t="shared" si="11"/>
        <v/>
      </c>
      <c r="CK339" s="86" t="str">
        <f t="shared" si="12"/>
        <v/>
      </c>
      <c r="CL339" s="86" t="str">
        <f t="shared" si="13"/>
        <v/>
      </c>
      <c r="CM339" s="87" t="str">
        <f t="shared" si="14"/>
        <v/>
      </c>
      <c r="CN339" s="88" t="str">
        <f t="shared" si="26"/>
        <v/>
      </c>
      <c r="CO339" s="88" t="str">
        <f t="shared" si="15"/>
        <v/>
      </c>
      <c r="CP339" s="88" t="str">
        <f t="shared" si="16"/>
        <v/>
      </c>
      <c r="CQ339" s="88" t="str">
        <f t="shared" si="17"/>
        <v/>
      </c>
      <c r="CR339" s="88" t="str">
        <f t="shared" si="18"/>
        <v/>
      </c>
      <c r="CS339" s="88" t="str">
        <f t="shared" si="19"/>
        <v/>
      </c>
      <c r="CT339" s="88" t="str">
        <f t="shared" si="20"/>
        <v/>
      </c>
      <c r="CU339" s="88" t="str">
        <f t="shared" si="21"/>
        <v/>
      </c>
      <c r="CV339" s="88" t="str">
        <f t="shared" si="22"/>
        <v/>
      </c>
      <c r="CW339" s="88" t="str">
        <f t="shared" si="23"/>
        <v/>
      </c>
      <c r="CX339" s="7"/>
      <c r="CY339" s="7"/>
      <c r="CZ339" s="7"/>
      <c r="DA339" s="8"/>
      <c r="DU339" s="93" t="str">
        <f t="shared" si="24"/>
        <v/>
      </c>
      <c r="DV339" s="93" t="str">
        <f>ABA!$A339</f>
        <v/>
      </c>
      <c r="DW339" s="82" t="str">
        <f t="shared" si="25"/>
        <v/>
      </c>
    </row>
    <row r="340" ht="15.75" customHeight="1">
      <c r="A340" s="85"/>
      <c r="B340" s="107"/>
      <c r="C340" s="98"/>
      <c r="D340" s="98"/>
      <c r="E340" s="99"/>
      <c r="F340" s="98"/>
      <c r="G340" s="98"/>
      <c r="H340" s="98"/>
      <c r="I340" s="99"/>
      <c r="J340" s="98"/>
      <c r="K340" s="98"/>
      <c r="L340" s="98"/>
      <c r="M340" s="99"/>
      <c r="N340" s="98"/>
      <c r="O340" s="98"/>
      <c r="P340" s="98"/>
      <c r="Q340" s="99"/>
      <c r="R340" s="98"/>
      <c r="S340" s="98"/>
      <c r="T340" s="98"/>
      <c r="U340" s="99"/>
      <c r="V340" s="98"/>
      <c r="W340" s="98"/>
      <c r="X340" s="98"/>
      <c r="Y340" s="100"/>
      <c r="Z340" s="98"/>
      <c r="AA340" s="98"/>
      <c r="AB340" s="98"/>
      <c r="AC340" s="99"/>
      <c r="AD340" s="98"/>
      <c r="AE340" s="98"/>
      <c r="AF340" s="98"/>
      <c r="AG340" s="99"/>
      <c r="AH340" s="98"/>
      <c r="AI340" s="98"/>
      <c r="AJ340" s="98"/>
      <c r="AK340" s="99"/>
      <c r="AL340" s="98"/>
      <c r="AM340" s="98"/>
      <c r="AN340" s="98"/>
      <c r="AO340" s="98"/>
      <c r="AP340" s="84" t="str">
        <f t="shared" si="2"/>
        <v/>
      </c>
      <c r="AQ340" s="9"/>
      <c r="AR340" s="9"/>
      <c r="AS340" s="8"/>
      <c r="AT340" s="9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8"/>
      <c r="BX340" s="9"/>
      <c r="BY340" s="9"/>
      <c r="BZ340" s="9"/>
      <c r="CA340" s="33"/>
      <c r="CB340" s="85" t="str">
        <f t="shared" si="3"/>
        <v/>
      </c>
      <c r="CC340" s="86" t="str">
        <f t="shared" si="4"/>
        <v/>
      </c>
      <c r="CD340" s="86" t="str">
        <f t="shared" si="5"/>
        <v/>
      </c>
      <c r="CE340" s="86" t="str">
        <f t="shared" si="6"/>
        <v/>
      </c>
      <c r="CF340" s="86" t="str">
        <f t="shared" si="7"/>
        <v/>
      </c>
      <c r="CG340" s="86" t="str">
        <f t="shared" si="8"/>
        <v/>
      </c>
      <c r="CH340" s="86" t="str">
        <f t="shared" si="9"/>
        <v/>
      </c>
      <c r="CI340" s="86" t="str">
        <f t="shared" si="10"/>
        <v/>
      </c>
      <c r="CJ340" s="86" t="str">
        <f t="shared" si="11"/>
        <v/>
      </c>
      <c r="CK340" s="86" t="str">
        <f t="shared" si="12"/>
        <v/>
      </c>
      <c r="CL340" s="86" t="str">
        <f t="shared" si="13"/>
        <v/>
      </c>
      <c r="CM340" s="87" t="str">
        <f t="shared" si="14"/>
        <v/>
      </c>
      <c r="CN340" s="88" t="str">
        <f t="shared" si="26"/>
        <v/>
      </c>
      <c r="CO340" s="88" t="str">
        <f t="shared" si="15"/>
        <v/>
      </c>
      <c r="CP340" s="88" t="str">
        <f t="shared" si="16"/>
        <v/>
      </c>
      <c r="CQ340" s="88" t="str">
        <f t="shared" si="17"/>
        <v/>
      </c>
      <c r="CR340" s="88" t="str">
        <f t="shared" si="18"/>
        <v/>
      </c>
      <c r="CS340" s="88" t="str">
        <f t="shared" si="19"/>
        <v/>
      </c>
      <c r="CT340" s="88" t="str">
        <f t="shared" si="20"/>
        <v/>
      </c>
      <c r="CU340" s="88" t="str">
        <f t="shared" si="21"/>
        <v/>
      </c>
      <c r="CV340" s="88" t="str">
        <f t="shared" si="22"/>
        <v/>
      </c>
      <c r="CW340" s="88" t="str">
        <f t="shared" si="23"/>
        <v/>
      </c>
      <c r="CX340" s="7"/>
      <c r="CY340" s="7"/>
      <c r="CZ340" s="7"/>
      <c r="DA340" s="8"/>
      <c r="DU340" s="104" t="str">
        <f t="shared" si="24"/>
        <v/>
      </c>
      <c r="DV340" s="104" t="str">
        <f>ABA!$A340</f>
        <v/>
      </c>
      <c r="DW340" s="98" t="str">
        <f t="shared" si="25"/>
        <v/>
      </c>
    </row>
    <row r="341" ht="15.75" customHeight="1">
      <c r="A341" s="78"/>
      <c r="B341" s="105"/>
      <c r="C341" s="82"/>
      <c r="D341" s="82"/>
      <c r="E341" s="83"/>
      <c r="F341" s="82"/>
      <c r="G341" s="82"/>
      <c r="H341" s="82"/>
      <c r="I341" s="83"/>
      <c r="J341" s="82"/>
      <c r="K341" s="82"/>
      <c r="L341" s="82"/>
      <c r="M341" s="83"/>
      <c r="N341" s="82"/>
      <c r="O341" s="82"/>
      <c r="P341" s="82"/>
      <c r="Q341" s="83"/>
      <c r="R341" s="82"/>
      <c r="S341" s="82"/>
      <c r="T341" s="82"/>
      <c r="U341" s="83"/>
      <c r="V341" s="82"/>
      <c r="W341" s="82"/>
      <c r="X341" s="82"/>
      <c r="Y341" s="83"/>
      <c r="Z341" s="82"/>
      <c r="AA341" s="82"/>
      <c r="AB341" s="82"/>
      <c r="AC341" s="83"/>
      <c r="AD341" s="82"/>
      <c r="AE341" s="82"/>
      <c r="AF341" s="82"/>
      <c r="AG341" s="83"/>
      <c r="AH341" s="82"/>
      <c r="AI341" s="82"/>
      <c r="AJ341" s="82"/>
      <c r="AK341" s="83"/>
      <c r="AL341" s="82"/>
      <c r="AM341" s="82"/>
      <c r="AN341" s="82"/>
      <c r="AO341" s="82"/>
      <c r="AP341" s="84" t="str">
        <f t="shared" si="2"/>
        <v/>
      </c>
      <c r="AQ341" s="9"/>
      <c r="AR341" s="9"/>
      <c r="AS341" s="8"/>
      <c r="AT341" s="9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8"/>
      <c r="BX341" s="9"/>
      <c r="BY341" s="9"/>
      <c r="BZ341" s="9"/>
      <c r="CA341" s="33"/>
      <c r="CB341" s="85" t="str">
        <f t="shared" si="3"/>
        <v/>
      </c>
      <c r="CC341" s="86" t="str">
        <f t="shared" si="4"/>
        <v/>
      </c>
      <c r="CD341" s="86" t="str">
        <f t="shared" si="5"/>
        <v/>
      </c>
      <c r="CE341" s="86" t="str">
        <f t="shared" si="6"/>
        <v/>
      </c>
      <c r="CF341" s="86" t="str">
        <f t="shared" si="7"/>
        <v/>
      </c>
      <c r="CG341" s="86" t="str">
        <f t="shared" si="8"/>
        <v/>
      </c>
      <c r="CH341" s="86" t="str">
        <f t="shared" si="9"/>
        <v/>
      </c>
      <c r="CI341" s="86" t="str">
        <f t="shared" si="10"/>
        <v/>
      </c>
      <c r="CJ341" s="86" t="str">
        <f t="shared" si="11"/>
        <v/>
      </c>
      <c r="CK341" s="86" t="str">
        <f t="shared" si="12"/>
        <v/>
      </c>
      <c r="CL341" s="86" t="str">
        <f t="shared" si="13"/>
        <v/>
      </c>
      <c r="CM341" s="87" t="str">
        <f t="shared" si="14"/>
        <v/>
      </c>
      <c r="CN341" s="88" t="str">
        <f t="shared" si="26"/>
        <v/>
      </c>
      <c r="CO341" s="88" t="str">
        <f t="shared" si="15"/>
        <v/>
      </c>
      <c r="CP341" s="88" t="str">
        <f t="shared" si="16"/>
        <v/>
      </c>
      <c r="CQ341" s="88" t="str">
        <f t="shared" si="17"/>
        <v/>
      </c>
      <c r="CR341" s="88" t="str">
        <f t="shared" si="18"/>
        <v/>
      </c>
      <c r="CS341" s="88" t="str">
        <f t="shared" si="19"/>
        <v/>
      </c>
      <c r="CT341" s="88" t="str">
        <f t="shared" si="20"/>
        <v/>
      </c>
      <c r="CU341" s="88" t="str">
        <f t="shared" si="21"/>
        <v/>
      </c>
      <c r="CV341" s="88" t="str">
        <f t="shared" si="22"/>
        <v/>
      </c>
      <c r="CW341" s="88" t="str">
        <f t="shared" si="23"/>
        <v/>
      </c>
      <c r="CX341" s="7"/>
      <c r="CY341" s="7"/>
      <c r="CZ341" s="7"/>
      <c r="DA341" s="8"/>
      <c r="DU341" s="93" t="str">
        <f t="shared" si="24"/>
        <v/>
      </c>
      <c r="DV341" s="93" t="str">
        <f>ABA!$A341</f>
        <v/>
      </c>
      <c r="DW341" s="82" t="str">
        <f t="shared" si="25"/>
        <v/>
      </c>
    </row>
    <row r="342" ht="15.75" customHeight="1">
      <c r="A342" s="85"/>
      <c r="B342" s="107"/>
      <c r="C342" s="98"/>
      <c r="D342" s="98"/>
      <c r="E342" s="99"/>
      <c r="F342" s="98"/>
      <c r="G342" s="98"/>
      <c r="H342" s="98"/>
      <c r="I342" s="99"/>
      <c r="J342" s="98"/>
      <c r="K342" s="98"/>
      <c r="L342" s="98"/>
      <c r="M342" s="99"/>
      <c r="N342" s="98"/>
      <c r="O342" s="98"/>
      <c r="P342" s="98"/>
      <c r="Q342" s="99"/>
      <c r="R342" s="98"/>
      <c r="S342" s="98"/>
      <c r="T342" s="98"/>
      <c r="U342" s="99"/>
      <c r="V342" s="98"/>
      <c r="W342" s="98"/>
      <c r="X342" s="98"/>
      <c r="Y342" s="100"/>
      <c r="Z342" s="98"/>
      <c r="AA342" s="98"/>
      <c r="AB342" s="98"/>
      <c r="AC342" s="99"/>
      <c r="AD342" s="98"/>
      <c r="AE342" s="98"/>
      <c r="AF342" s="98"/>
      <c r="AG342" s="99"/>
      <c r="AH342" s="98"/>
      <c r="AI342" s="98"/>
      <c r="AJ342" s="98"/>
      <c r="AK342" s="99"/>
      <c r="AL342" s="98"/>
      <c r="AM342" s="98"/>
      <c r="AN342" s="98"/>
      <c r="AO342" s="98"/>
      <c r="AP342" s="84" t="str">
        <f t="shared" si="2"/>
        <v/>
      </c>
      <c r="AQ342" s="9"/>
      <c r="AR342" s="9"/>
      <c r="AS342" s="8"/>
      <c r="AT342" s="9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8"/>
      <c r="BX342" s="9"/>
      <c r="BY342" s="9"/>
      <c r="BZ342" s="9"/>
      <c r="CA342" s="33"/>
      <c r="CB342" s="85" t="str">
        <f t="shared" si="3"/>
        <v/>
      </c>
      <c r="CC342" s="86" t="str">
        <f t="shared" si="4"/>
        <v/>
      </c>
      <c r="CD342" s="86" t="str">
        <f t="shared" si="5"/>
        <v/>
      </c>
      <c r="CE342" s="86" t="str">
        <f t="shared" si="6"/>
        <v/>
      </c>
      <c r="CF342" s="86" t="str">
        <f t="shared" si="7"/>
        <v/>
      </c>
      <c r="CG342" s="86" t="str">
        <f t="shared" si="8"/>
        <v/>
      </c>
      <c r="CH342" s="86" t="str">
        <f t="shared" si="9"/>
        <v/>
      </c>
      <c r="CI342" s="86" t="str">
        <f t="shared" si="10"/>
        <v/>
      </c>
      <c r="CJ342" s="86" t="str">
        <f t="shared" si="11"/>
        <v/>
      </c>
      <c r="CK342" s="86" t="str">
        <f t="shared" si="12"/>
        <v/>
      </c>
      <c r="CL342" s="86" t="str">
        <f t="shared" si="13"/>
        <v/>
      </c>
      <c r="CM342" s="87" t="str">
        <f t="shared" si="14"/>
        <v/>
      </c>
      <c r="CN342" s="88" t="str">
        <f t="shared" si="26"/>
        <v/>
      </c>
      <c r="CO342" s="88" t="str">
        <f t="shared" si="15"/>
        <v/>
      </c>
      <c r="CP342" s="88" t="str">
        <f t="shared" si="16"/>
        <v/>
      </c>
      <c r="CQ342" s="88" t="str">
        <f t="shared" si="17"/>
        <v/>
      </c>
      <c r="CR342" s="88" t="str">
        <f t="shared" si="18"/>
        <v/>
      </c>
      <c r="CS342" s="88" t="str">
        <f t="shared" si="19"/>
        <v/>
      </c>
      <c r="CT342" s="88" t="str">
        <f t="shared" si="20"/>
        <v/>
      </c>
      <c r="CU342" s="88" t="str">
        <f t="shared" si="21"/>
        <v/>
      </c>
      <c r="CV342" s="88" t="str">
        <f t="shared" si="22"/>
        <v/>
      </c>
      <c r="CW342" s="88" t="str">
        <f t="shared" si="23"/>
        <v/>
      </c>
      <c r="CX342" s="7"/>
      <c r="CY342" s="7"/>
      <c r="CZ342" s="7"/>
      <c r="DA342" s="8"/>
      <c r="DU342" s="104" t="str">
        <f t="shared" si="24"/>
        <v/>
      </c>
      <c r="DV342" s="104" t="str">
        <f>ABA!$A342</f>
        <v/>
      </c>
      <c r="DW342" s="98" t="str">
        <f t="shared" si="25"/>
        <v/>
      </c>
    </row>
    <row r="343" ht="15.75" customHeight="1">
      <c r="A343" s="78"/>
      <c r="B343" s="105"/>
      <c r="C343" s="82"/>
      <c r="D343" s="82"/>
      <c r="E343" s="83"/>
      <c r="F343" s="82"/>
      <c r="G343" s="82"/>
      <c r="H343" s="82"/>
      <c r="I343" s="83"/>
      <c r="J343" s="82"/>
      <c r="K343" s="82"/>
      <c r="L343" s="82"/>
      <c r="M343" s="83"/>
      <c r="N343" s="82"/>
      <c r="O343" s="82"/>
      <c r="P343" s="82"/>
      <c r="Q343" s="83"/>
      <c r="R343" s="82"/>
      <c r="S343" s="82"/>
      <c r="T343" s="82"/>
      <c r="U343" s="83"/>
      <c r="V343" s="82"/>
      <c r="W343" s="82"/>
      <c r="X343" s="82"/>
      <c r="Y343" s="83"/>
      <c r="Z343" s="82"/>
      <c r="AA343" s="82"/>
      <c r="AB343" s="82"/>
      <c r="AC343" s="83"/>
      <c r="AD343" s="82"/>
      <c r="AE343" s="82"/>
      <c r="AF343" s="82"/>
      <c r="AG343" s="83"/>
      <c r="AH343" s="82"/>
      <c r="AI343" s="82"/>
      <c r="AJ343" s="82"/>
      <c r="AK343" s="83"/>
      <c r="AL343" s="82"/>
      <c r="AM343" s="82"/>
      <c r="AN343" s="82"/>
      <c r="AO343" s="82"/>
      <c r="AP343" s="84" t="str">
        <f t="shared" si="2"/>
        <v/>
      </c>
      <c r="AQ343" s="9"/>
      <c r="AR343" s="9"/>
      <c r="AS343" s="8"/>
      <c r="AT343" s="9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8"/>
      <c r="BX343" s="9"/>
      <c r="BY343" s="9"/>
      <c r="BZ343" s="9"/>
      <c r="CA343" s="33"/>
      <c r="CB343" s="85" t="str">
        <f t="shared" si="3"/>
        <v/>
      </c>
      <c r="CC343" s="86" t="str">
        <f t="shared" si="4"/>
        <v/>
      </c>
      <c r="CD343" s="86" t="str">
        <f t="shared" si="5"/>
        <v/>
      </c>
      <c r="CE343" s="86" t="str">
        <f t="shared" si="6"/>
        <v/>
      </c>
      <c r="CF343" s="86" t="str">
        <f t="shared" si="7"/>
        <v/>
      </c>
      <c r="CG343" s="86" t="str">
        <f t="shared" si="8"/>
        <v/>
      </c>
      <c r="CH343" s="86" t="str">
        <f t="shared" si="9"/>
        <v/>
      </c>
      <c r="CI343" s="86" t="str">
        <f t="shared" si="10"/>
        <v/>
      </c>
      <c r="CJ343" s="86" t="str">
        <f t="shared" si="11"/>
        <v/>
      </c>
      <c r="CK343" s="86" t="str">
        <f t="shared" si="12"/>
        <v/>
      </c>
      <c r="CL343" s="86" t="str">
        <f t="shared" si="13"/>
        <v/>
      </c>
      <c r="CM343" s="87" t="str">
        <f t="shared" si="14"/>
        <v/>
      </c>
      <c r="CN343" s="88" t="str">
        <f t="shared" si="26"/>
        <v/>
      </c>
      <c r="CO343" s="88" t="str">
        <f t="shared" si="15"/>
        <v/>
      </c>
      <c r="CP343" s="88" t="str">
        <f t="shared" si="16"/>
        <v/>
      </c>
      <c r="CQ343" s="88" t="str">
        <f t="shared" si="17"/>
        <v/>
      </c>
      <c r="CR343" s="88" t="str">
        <f t="shared" si="18"/>
        <v/>
      </c>
      <c r="CS343" s="88" t="str">
        <f t="shared" si="19"/>
        <v/>
      </c>
      <c r="CT343" s="88" t="str">
        <f t="shared" si="20"/>
        <v/>
      </c>
      <c r="CU343" s="88" t="str">
        <f t="shared" si="21"/>
        <v/>
      </c>
      <c r="CV343" s="88" t="str">
        <f t="shared" si="22"/>
        <v/>
      </c>
      <c r="CW343" s="88" t="str">
        <f t="shared" si="23"/>
        <v/>
      </c>
      <c r="CX343" s="7"/>
      <c r="CY343" s="7"/>
      <c r="CZ343" s="7"/>
      <c r="DA343" s="8"/>
      <c r="DU343" s="93" t="str">
        <f t="shared" si="24"/>
        <v/>
      </c>
      <c r="DV343" s="93" t="str">
        <f>ABA!$A343</f>
        <v/>
      </c>
      <c r="DW343" s="82" t="str">
        <f t="shared" si="25"/>
        <v/>
      </c>
    </row>
    <row r="344" ht="15.75" customHeight="1">
      <c r="A344" s="85"/>
      <c r="B344" s="107"/>
      <c r="C344" s="98"/>
      <c r="D344" s="98"/>
      <c r="E344" s="99"/>
      <c r="F344" s="98"/>
      <c r="G344" s="98"/>
      <c r="H344" s="98"/>
      <c r="I344" s="99"/>
      <c r="J344" s="98"/>
      <c r="K344" s="98"/>
      <c r="L344" s="98"/>
      <c r="M344" s="99"/>
      <c r="N344" s="98"/>
      <c r="O344" s="98"/>
      <c r="P344" s="98"/>
      <c r="Q344" s="99"/>
      <c r="R344" s="98"/>
      <c r="S344" s="98"/>
      <c r="T344" s="98"/>
      <c r="U344" s="99"/>
      <c r="V344" s="98"/>
      <c r="W344" s="98"/>
      <c r="X344" s="98"/>
      <c r="Y344" s="100"/>
      <c r="Z344" s="98"/>
      <c r="AA344" s="98"/>
      <c r="AB344" s="98"/>
      <c r="AC344" s="99"/>
      <c r="AD344" s="98"/>
      <c r="AE344" s="98"/>
      <c r="AF344" s="98"/>
      <c r="AG344" s="99"/>
      <c r="AH344" s="98"/>
      <c r="AI344" s="98"/>
      <c r="AJ344" s="98"/>
      <c r="AK344" s="99"/>
      <c r="AL344" s="98"/>
      <c r="AM344" s="98"/>
      <c r="AN344" s="98"/>
      <c r="AO344" s="98"/>
      <c r="AP344" s="84" t="str">
        <f t="shared" si="2"/>
        <v/>
      </c>
      <c r="AQ344" s="9"/>
      <c r="AR344" s="9"/>
      <c r="AS344" s="8"/>
      <c r="AT344" s="9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8"/>
      <c r="BX344" s="9"/>
      <c r="BY344" s="9"/>
      <c r="BZ344" s="9"/>
      <c r="CA344" s="33"/>
      <c r="CB344" s="85" t="str">
        <f t="shared" si="3"/>
        <v/>
      </c>
      <c r="CC344" s="86" t="str">
        <f t="shared" si="4"/>
        <v/>
      </c>
      <c r="CD344" s="86" t="str">
        <f t="shared" si="5"/>
        <v/>
      </c>
      <c r="CE344" s="86" t="str">
        <f t="shared" si="6"/>
        <v/>
      </c>
      <c r="CF344" s="86" t="str">
        <f t="shared" si="7"/>
        <v/>
      </c>
      <c r="CG344" s="86" t="str">
        <f t="shared" si="8"/>
        <v/>
      </c>
      <c r="CH344" s="86" t="str">
        <f t="shared" si="9"/>
        <v/>
      </c>
      <c r="CI344" s="86" t="str">
        <f t="shared" si="10"/>
        <v/>
      </c>
      <c r="CJ344" s="86" t="str">
        <f t="shared" si="11"/>
        <v/>
      </c>
      <c r="CK344" s="86" t="str">
        <f t="shared" si="12"/>
        <v/>
      </c>
      <c r="CL344" s="86" t="str">
        <f t="shared" si="13"/>
        <v/>
      </c>
      <c r="CM344" s="87" t="str">
        <f t="shared" si="14"/>
        <v/>
      </c>
      <c r="CN344" s="88" t="str">
        <f t="shared" si="26"/>
        <v/>
      </c>
      <c r="CO344" s="88" t="str">
        <f t="shared" si="15"/>
        <v/>
      </c>
      <c r="CP344" s="88" t="str">
        <f t="shared" si="16"/>
        <v/>
      </c>
      <c r="CQ344" s="88" t="str">
        <f t="shared" si="17"/>
        <v/>
      </c>
      <c r="CR344" s="88" t="str">
        <f t="shared" si="18"/>
        <v/>
      </c>
      <c r="CS344" s="88" t="str">
        <f t="shared" si="19"/>
        <v/>
      </c>
      <c r="CT344" s="88" t="str">
        <f t="shared" si="20"/>
        <v/>
      </c>
      <c r="CU344" s="88" t="str">
        <f t="shared" si="21"/>
        <v/>
      </c>
      <c r="CV344" s="88" t="str">
        <f t="shared" si="22"/>
        <v/>
      </c>
      <c r="CW344" s="88" t="str">
        <f t="shared" si="23"/>
        <v/>
      </c>
      <c r="CX344" s="7"/>
      <c r="CY344" s="7"/>
      <c r="CZ344" s="7"/>
      <c r="DA344" s="8"/>
      <c r="DU344" s="104" t="str">
        <f t="shared" si="24"/>
        <v/>
      </c>
      <c r="DV344" s="104" t="str">
        <f>ABA!$A344</f>
        <v/>
      </c>
      <c r="DW344" s="98" t="str">
        <f t="shared" si="25"/>
        <v/>
      </c>
    </row>
    <row r="345" ht="15.75" customHeight="1">
      <c r="A345" s="78"/>
      <c r="B345" s="105"/>
      <c r="C345" s="82"/>
      <c r="D345" s="82"/>
      <c r="E345" s="83"/>
      <c r="F345" s="82"/>
      <c r="G345" s="82"/>
      <c r="H345" s="82"/>
      <c r="I345" s="83"/>
      <c r="J345" s="82"/>
      <c r="K345" s="82"/>
      <c r="L345" s="82"/>
      <c r="M345" s="83"/>
      <c r="N345" s="82"/>
      <c r="O345" s="82"/>
      <c r="P345" s="82"/>
      <c r="Q345" s="83"/>
      <c r="R345" s="82"/>
      <c r="S345" s="82"/>
      <c r="T345" s="82"/>
      <c r="U345" s="83"/>
      <c r="V345" s="82"/>
      <c r="W345" s="82"/>
      <c r="X345" s="82"/>
      <c r="Y345" s="83"/>
      <c r="Z345" s="82"/>
      <c r="AA345" s="82"/>
      <c r="AB345" s="82"/>
      <c r="AC345" s="83"/>
      <c r="AD345" s="82"/>
      <c r="AE345" s="82"/>
      <c r="AF345" s="82"/>
      <c r="AG345" s="83"/>
      <c r="AH345" s="82"/>
      <c r="AI345" s="82"/>
      <c r="AJ345" s="82"/>
      <c r="AK345" s="83"/>
      <c r="AL345" s="82"/>
      <c r="AM345" s="82"/>
      <c r="AN345" s="82"/>
      <c r="AO345" s="82"/>
      <c r="AP345" s="84" t="str">
        <f t="shared" si="2"/>
        <v/>
      </c>
      <c r="AQ345" s="9"/>
      <c r="AR345" s="9"/>
      <c r="AS345" s="8"/>
      <c r="AT345" s="9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8"/>
      <c r="BX345" s="9"/>
      <c r="BY345" s="9"/>
      <c r="BZ345" s="9"/>
      <c r="CA345" s="33"/>
      <c r="CB345" s="85" t="str">
        <f t="shared" si="3"/>
        <v/>
      </c>
      <c r="CC345" s="86" t="str">
        <f t="shared" si="4"/>
        <v/>
      </c>
      <c r="CD345" s="86" t="str">
        <f t="shared" si="5"/>
        <v/>
      </c>
      <c r="CE345" s="86" t="str">
        <f t="shared" si="6"/>
        <v/>
      </c>
      <c r="CF345" s="86" t="str">
        <f t="shared" si="7"/>
        <v/>
      </c>
      <c r="CG345" s="86" t="str">
        <f t="shared" si="8"/>
        <v/>
      </c>
      <c r="CH345" s="86" t="str">
        <f t="shared" si="9"/>
        <v/>
      </c>
      <c r="CI345" s="86" t="str">
        <f t="shared" si="10"/>
        <v/>
      </c>
      <c r="CJ345" s="86" t="str">
        <f t="shared" si="11"/>
        <v/>
      </c>
      <c r="CK345" s="86" t="str">
        <f t="shared" si="12"/>
        <v/>
      </c>
      <c r="CL345" s="86" t="str">
        <f t="shared" si="13"/>
        <v/>
      </c>
      <c r="CM345" s="87" t="str">
        <f t="shared" si="14"/>
        <v/>
      </c>
      <c r="CN345" s="88" t="str">
        <f t="shared" si="26"/>
        <v/>
      </c>
      <c r="CO345" s="88" t="str">
        <f t="shared" si="15"/>
        <v/>
      </c>
      <c r="CP345" s="88" t="str">
        <f t="shared" si="16"/>
        <v/>
      </c>
      <c r="CQ345" s="88" t="str">
        <f t="shared" si="17"/>
        <v/>
      </c>
      <c r="CR345" s="88" t="str">
        <f t="shared" si="18"/>
        <v/>
      </c>
      <c r="CS345" s="88" t="str">
        <f t="shared" si="19"/>
        <v/>
      </c>
      <c r="CT345" s="88" t="str">
        <f t="shared" si="20"/>
        <v/>
      </c>
      <c r="CU345" s="88" t="str">
        <f t="shared" si="21"/>
        <v/>
      </c>
      <c r="CV345" s="88" t="str">
        <f t="shared" si="22"/>
        <v/>
      </c>
      <c r="CW345" s="88" t="str">
        <f t="shared" si="23"/>
        <v/>
      </c>
      <c r="CX345" s="7"/>
      <c r="CY345" s="7"/>
      <c r="CZ345" s="7"/>
      <c r="DA345" s="8"/>
      <c r="DU345" s="93" t="str">
        <f t="shared" si="24"/>
        <v/>
      </c>
      <c r="DV345" s="93" t="str">
        <f>ABA!$A345</f>
        <v/>
      </c>
      <c r="DW345" s="82" t="str">
        <f t="shared" si="25"/>
        <v/>
      </c>
    </row>
    <row r="346" ht="15.75" customHeight="1">
      <c r="A346" s="85"/>
      <c r="B346" s="107"/>
      <c r="C346" s="98"/>
      <c r="D346" s="98"/>
      <c r="E346" s="99"/>
      <c r="F346" s="98"/>
      <c r="G346" s="98"/>
      <c r="H346" s="98"/>
      <c r="I346" s="99"/>
      <c r="J346" s="98"/>
      <c r="K346" s="98"/>
      <c r="L346" s="98"/>
      <c r="M346" s="99"/>
      <c r="N346" s="98"/>
      <c r="O346" s="98"/>
      <c r="P346" s="98"/>
      <c r="Q346" s="99"/>
      <c r="R346" s="98"/>
      <c r="S346" s="98"/>
      <c r="T346" s="98"/>
      <c r="U346" s="99"/>
      <c r="V346" s="98"/>
      <c r="W346" s="98"/>
      <c r="X346" s="98"/>
      <c r="Y346" s="100"/>
      <c r="Z346" s="98"/>
      <c r="AA346" s="98"/>
      <c r="AB346" s="98"/>
      <c r="AC346" s="99"/>
      <c r="AD346" s="98"/>
      <c r="AE346" s="98"/>
      <c r="AF346" s="98"/>
      <c r="AG346" s="99"/>
      <c r="AH346" s="98"/>
      <c r="AI346" s="98"/>
      <c r="AJ346" s="98"/>
      <c r="AK346" s="99"/>
      <c r="AL346" s="98"/>
      <c r="AM346" s="98"/>
      <c r="AN346" s="98"/>
      <c r="AO346" s="98"/>
      <c r="AP346" s="84" t="str">
        <f t="shared" si="2"/>
        <v/>
      </c>
      <c r="AQ346" s="9"/>
      <c r="AR346" s="9"/>
      <c r="AS346" s="8"/>
      <c r="AT346" s="9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8"/>
      <c r="BX346" s="9"/>
      <c r="BY346" s="9"/>
      <c r="BZ346" s="9"/>
      <c r="CA346" s="33"/>
      <c r="CB346" s="85" t="str">
        <f t="shared" si="3"/>
        <v/>
      </c>
      <c r="CC346" s="86" t="str">
        <f t="shared" si="4"/>
        <v/>
      </c>
      <c r="CD346" s="86" t="str">
        <f t="shared" si="5"/>
        <v/>
      </c>
      <c r="CE346" s="86" t="str">
        <f t="shared" si="6"/>
        <v/>
      </c>
      <c r="CF346" s="86" t="str">
        <f t="shared" si="7"/>
        <v/>
      </c>
      <c r="CG346" s="86" t="str">
        <f t="shared" si="8"/>
        <v/>
      </c>
      <c r="CH346" s="86" t="str">
        <f t="shared" si="9"/>
        <v/>
      </c>
      <c r="CI346" s="86" t="str">
        <f t="shared" si="10"/>
        <v/>
      </c>
      <c r="CJ346" s="86" t="str">
        <f t="shared" si="11"/>
        <v/>
      </c>
      <c r="CK346" s="86" t="str">
        <f t="shared" si="12"/>
        <v/>
      </c>
      <c r="CL346" s="86" t="str">
        <f t="shared" si="13"/>
        <v/>
      </c>
      <c r="CM346" s="87" t="str">
        <f t="shared" si="14"/>
        <v/>
      </c>
      <c r="CN346" s="88" t="str">
        <f t="shared" si="26"/>
        <v/>
      </c>
      <c r="CO346" s="88" t="str">
        <f t="shared" si="15"/>
        <v/>
      </c>
      <c r="CP346" s="88" t="str">
        <f t="shared" si="16"/>
        <v/>
      </c>
      <c r="CQ346" s="88" t="str">
        <f t="shared" si="17"/>
        <v/>
      </c>
      <c r="CR346" s="88" t="str">
        <f t="shared" si="18"/>
        <v/>
      </c>
      <c r="CS346" s="88" t="str">
        <f t="shared" si="19"/>
        <v/>
      </c>
      <c r="CT346" s="88" t="str">
        <f t="shared" si="20"/>
        <v/>
      </c>
      <c r="CU346" s="88" t="str">
        <f t="shared" si="21"/>
        <v/>
      </c>
      <c r="CV346" s="88" t="str">
        <f t="shared" si="22"/>
        <v/>
      </c>
      <c r="CW346" s="88" t="str">
        <f t="shared" si="23"/>
        <v/>
      </c>
      <c r="CX346" s="7"/>
      <c r="CY346" s="7"/>
      <c r="CZ346" s="7"/>
      <c r="DA346" s="8"/>
      <c r="DU346" s="104" t="str">
        <f t="shared" si="24"/>
        <v/>
      </c>
      <c r="DV346" s="104" t="str">
        <f>ABA!$A346</f>
        <v/>
      </c>
      <c r="DW346" s="98" t="str">
        <f t="shared" si="25"/>
        <v/>
      </c>
    </row>
    <row r="347" ht="15.75" customHeight="1">
      <c r="A347" s="78"/>
      <c r="B347" s="105"/>
      <c r="C347" s="82"/>
      <c r="D347" s="82"/>
      <c r="E347" s="83"/>
      <c r="F347" s="82"/>
      <c r="G347" s="82"/>
      <c r="H347" s="82"/>
      <c r="I347" s="83"/>
      <c r="J347" s="82"/>
      <c r="K347" s="82"/>
      <c r="L347" s="82"/>
      <c r="M347" s="83"/>
      <c r="N347" s="82"/>
      <c r="O347" s="82"/>
      <c r="P347" s="82"/>
      <c r="Q347" s="83"/>
      <c r="R347" s="82"/>
      <c r="S347" s="82"/>
      <c r="T347" s="82"/>
      <c r="U347" s="83"/>
      <c r="V347" s="82"/>
      <c r="W347" s="82"/>
      <c r="X347" s="82"/>
      <c r="Y347" s="83"/>
      <c r="Z347" s="82"/>
      <c r="AA347" s="82"/>
      <c r="AB347" s="82"/>
      <c r="AC347" s="83"/>
      <c r="AD347" s="82"/>
      <c r="AE347" s="82"/>
      <c r="AF347" s="82"/>
      <c r="AG347" s="83"/>
      <c r="AH347" s="82"/>
      <c r="AI347" s="82"/>
      <c r="AJ347" s="82"/>
      <c r="AK347" s="83"/>
      <c r="AL347" s="82"/>
      <c r="AM347" s="82"/>
      <c r="AN347" s="82"/>
      <c r="AO347" s="82"/>
      <c r="AP347" s="84" t="str">
        <f t="shared" si="2"/>
        <v/>
      </c>
      <c r="AQ347" s="9"/>
      <c r="AR347" s="9"/>
      <c r="AS347" s="8"/>
      <c r="AT347" s="9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8"/>
      <c r="BX347" s="9"/>
      <c r="BY347" s="9"/>
      <c r="BZ347" s="9"/>
      <c r="CA347" s="33"/>
      <c r="CB347" s="85" t="str">
        <f t="shared" si="3"/>
        <v/>
      </c>
      <c r="CC347" s="86" t="str">
        <f t="shared" si="4"/>
        <v/>
      </c>
      <c r="CD347" s="86" t="str">
        <f t="shared" si="5"/>
        <v/>
      </c>
      <c r="CE347" s="86" t="str">
        <f t="shared" si="6"/>
        <v/>
      </c>
      <c r="CF347" s="86" t="str">
        <f t="shared" si="7"/>
        <v/>
      </c>
      <c r="CG347" s="86" t="str">
        <f t="shared" si="8"/>
        <v/>
      </c>
      <c r="CH347" s="86" t="str">
        <f t="shared" si="9"/>
        <v/>
      </c>
      <c r="CI347" s="86" t="str">
        <f t="shared" si="10"/>
        <v/>
      </c>
      <c r="CJ347" s="86" t="str">
        <f t="shared" si="11"/>
        <v/>
      </c>
      <c r="CK347" s="86" t="str">
        <f t="shared" si="12"/>
        <v/>
      </c>
      <c r="CL347" s="86" t="str">
        <f t="shared" si="13"/>
        <v/>
      </c>
      <c r="CM347" s="87" t="str">
        <f t="shared" si="14"/>
        <v/>
      </c>
      <c r="CN347" s="88" t="str">
        <f t="shared" si="26"/>
        <v/>
      </c>
      <c r="CO347" s="88" t="str">
        <f t="shared" si="15"/>
        <v/>
      </c>
      <c r="CP347" s="88" t="str">
        <f t="shared" si="16"/>
        <v/>
      </c>
      <c r="CQ347" s="88" t="str">
        <f t="shared" si="17"/>
        <v/>
      </c>
      <c r="CR347" s="88" t="str">
        <f t="shared" si="18"/>
        <v/>
      </c>
      <c r="CS347" s="88" t="str">
        <f t="shared" si="19"/>
        <v/>
      </c>
      <c r="CT347" s="88" t="str">
        <f t="shared" si="20"/>
        <v/>
      </c>
      <c r="CU347" s="88" t="str">
        <f t="shared" si="21"/>
        <v/>
      </c>
      <c r="CV347" s="88" t="str">
        <f t="shared" si="22"/>
        <v/>
      </c>
      <c r="CW347" s="88" t="str">
        <f t="shared" si="23"/>
        <v/>
      </c>
      <c r="CX347" s="7"/>
      <c r="CY347" s="7"/>
      <c r="CZ347" s="7"/>
      <c r="DA347" s="8"/>
      <c r="DU347" s="93" t="str">
        <f t="shared" si="24"/>
        <v/>
      </c>
      <c r="DV347" s="93" t="str">
        <f>ABA!$A347</f>
        <v/>
      </c>
      <c r="DW347" s="82" t="str">
        <f t="shared" si="25"/>
        <v/>
      </c>
    </row>
    <row r="348" ht="15.75" customHeight="1">
      <c r="A348" s="85"/>
      <c r="B348" s="107"/>
      <c r="C348" s="98"/>
      <c r="D348" s="98"/>
      <c r="E348" s="99"/>
      <c r="F348" s="98"/>
      <c r="G348" s="98"/>
      <c r="H348" s="98"/>
      <c r="I348" s="99"/>
      <c r="J348" s="98"/>
      <c r="K348" s="98"/>
      <c r="L348" s="98"/>
      <c r="M348" s="99"/>
      <c r="N348" s="98"/>
      <c r="O348" s="98"/>
      <c r="P348" s="98"/>
      <c r="Q348" s="99"/>
      <c r="R348" s="98"/>
      <c r="S348" s="98"/>
      <c r="T348" s="98"/>
      <c r="U348" s="99"/>
      <c r="V348" s="98"/>
      <c r="W348" s="98"/>
      <c r="X348" s="98"/>
      <c r="Y348" s="100"/>
      <c r="Z348" s="98"/>
      <c r="AA348" s="98"/>
      <c r="AB348" s="98"/>
      <c r="AC348" s="99"/>
      <c r="AD348" s="98"/>
      <c r="AE348" s="98"/>
      <c r="AF348" s="98"/>
      <c r="AG348" s="99"/>
      <c r="AH348" s="98"/>
      <c r="AI348" s="98"/>
      <c r="AJ348" s="98"/>
      <c r="AK348" s="99"/>
      <c r="AL348" s="98"/>
      <c r="AM348" s="98"/>
      <c r="AN348" s="98"/>
      <c r="AO348" s="98"/>
      <c r="AP348" s="84" t="str">
        <f t="shared" si="2"/>
        <v/>
      </c>
      <c r="AQ348" s="9"/>
      <c r="AR348" s="9"/>
      <c r="AS348" s="8"/>
      <c r="AT348" s="9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8"/>
      <c r="BX348" s="9"/>
      <c r="BY348" s="9"/>
      <c r="BZ348" s="9"/>
      <c r="CA348" s="33"/>
      <c r="CB348" s="85" t="str">
        <f t="shared" si="3"/>
        <v/>
      </c>
      <c r="CC348" s="86" t="str">
        <f t="shared" si="4"/>
        <v/>
      </c>
      <c r="CD348" s="86" t="str">
        <f t="shared" si="5"/>
        <v/>
      </c>
      <c r="CE348" s="86" t="str">
        <f t="shared" si="6"/>
        <v/>
      </c>
      <c r="CF348" s="86" t="str">
        <f t="shared" si="7"/>
        <v/>
      </c>
      <c r="CG348" s="86" t="str">
        <f t="shared" si="8"/>
        <v/>
      </c>
      <c r="CH348" s="86" t="str">
        <f t="shared" si="9"/>
        <v/>
      </c>
      <c r="CI348" s="86" t="str">
        <f t="shared" si="10"/>
        <v/>
      </c>
      <c r="CJ348" s="86" t="str">
        <f t="shared" si="11"/>
        <v/>
      </c>
      <c r="CK348" s="86" t="str">
        <f t="shared" si="12"/>
        <v/>
      </c>
      <c r="CL348" s="86" t="str">
        <f t="shared" si="13"/>
        <v/>
      </c>
      <c r="CM348" s="87" t="str">
        <f t="shared" si="14"/>
        <v/>
      </c>
      <c r="CN348" s="88" t="str">
        <f t="shared" si="26"/>
        <v/>
      </c>
      <c r="CO348" s="88" t="str">
        <f t="shared" si="15"/>
        <v/>
      </c>
      <c r="CP348" s="88" t="str">
        <f t="shared" si="16"/>
        <v/>
      </c>
      <c r="CQ348" s="88" t="str">
        <f t="shared" si="17"/>
        <v/>
      </c>
      <c r="CR348" s="88" t="str">
        <f t="shared" si="18"/>
        <v/>
      </c>
      <c r="CS348" s="88" t="str">
        <f t="shared" si="19"/>
        <v/>
      </c>
      <c r="CT348" s="88" t="str">
        <f t="shared" si="20"/>
        <v/>
      </c>
      <c r="CU348" s="88" t="str">
        <f t="shared" si="21"/>
        <v/>
      </c>
      <c r="CV348" s="88" t="str">
        <f t="shared" si="22"/>
        <v/>
      </c>
      <c r="CW348" s="88" t="str">
        <f t="shared" si="23"/>
        <v/>
      </c>
      <c r="CX348" s="7"/>
      <c r="CY348" s="7"/>
      <c r="CZ348" s="7"/>
      <c r="DA348" s="8"/>
      <c r="DU348" s="104" t="str">
        <f t="shared" si="24"/>
        <v/>
      </c>
      <c r="DV348" s="104" t="str">
        <f>ABA!$A348</f>
        <v/>
      </c>
      <c r="DW348" s="98" t="str">
        <f t="shared" si="25"/>
        <v/>
      </c>
    </row>
    <row r="349" ht="15.75" customHeight="1">
      <c r="A349" s="78"/>
      <c r="B349" s="105"/>
      <c r="C349" s="82"/>
      <c r="D349" s="82"/>
      <c r="E349" s="83"/>
      <c r="F349" s="82"/>
      <c r="G349" s="82"/>
      <c r="H349" s="82"/>
      <c r="I349" s="83"/>
      <c r="J349" s="82"/>
      <c r="K349" s="82"/>
      <c r="L349" s="82"/>
      <c r="M349" s="83"/>
      <c r="N349" s="82"/>
      <c r="O349" s="82"/>
      <c r="P349" s="82"/>
      <c r="Q349" s="83"/>
      <c r="R349" s="82"/>
      <c r="S349" s="82"/>
      <c r="T349" s="82"/>
      <c r="U349" s="83"/>
      <c r="V349" s="82"/>
      <c r="W349" s="82"/>
      <c r="X349" s="82"/>
      <c r="Y349" s="83"/>
      <c r="Z349" s="82"/>
      <c r="AA349" s="82"/>
      <c r="AB349" s="82"/>
      <c r="AC349" s="83"/>
      <c r="AD349" s="82"/>
      <c r="AE349" s="82"/>
      <c r="AF349" s="82"/>
      <c r="AG349" s="83"/>
      <c r="AH349" s="82"/>
      <c r="AI349" s="82"/>
      <c r="AJ349" s="82"/>
      <c r="AK349" s="83"/>
      <c r="AL349" s="82"/>
      <c r="AM349" s="82"/>
      <c r="AN349" s="82"/>
      <c r="AO349" s="82"/>
      <c r="AP349" s="84" t="str">
        <f t="shared" si="2"/>
        <v/>
      </c>
      <c r="AQ349" s="9"/>
      <c r="AR349" s="9"/>
      <c r="AS349" s="8"/>
      <c r="AT349" s="9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8"/>
      <c r="BX349" s="9"/>
      <c r="BY349" s="9"/>
      <c r="BZ349" s="9"/>
      <c r="CA349" s="33"/>
      <c r="CB349" s="85" t="str">
        <f t="shared" si="3"/>
        <v/>
      </c>
      <c r="CC349" s="86" t="str">
        <f t="shared" si="4"/>
        <v/>
      </c>
      <c r="CD349" s="86" t="str">
        <f t="shared" si="5"/>
        <v/>
      </c>
      <c r="CE349" s="86" t="str">
        <f t="shared" si="6"/>
        <v/>
      </c>
      <c r="CF349" s="86" t="str">
        <f t="shared" si="7"/>
        <v/>
      </c>
      <c r="CG349" s="86" t="str">
        <f t="shared" si="8"/>
        <v/>
      </c>
      <c r="CH349" s="86" t="str">
        <f t="shared" si="9"/>
        <v/>
      </c>
      <c r="CI349" s="86" t="str">
        <f t="shared" si="10"/>
        <v/>
      </c>
      <c r="CJ349" s="86" t="str">
        <f t="shared" si="11"/>
        <v/>
      </c>
      <c r="CK349" s="86" t="str">
        <f t="shared" si="12"/>
        <v/>
      </c>
      <c r="CL349" s="86" t="str">
        <f t="shared" si="13"/>
        <v/>
      </c>
      <c r="CM349" s="87" t="str">
        <f t="shared" si="14"/>
        <v/>
      </c>
      <c r="CN349" s="88" t="str">
        <f t="shared" si="26"/>
        <v/>
      </c>
      <c r="CO349" s="88" t="str">
        <f t="shared" si="15"/>
        <v/>
      </c>
      <c r="CP349" s="88" t="str">
        <f t="shared" si="16"/>
        <v/>
      </c>
      <c r="CQ349" s="88" t="str">
        <f t="shared" si="17"/>
        <v/>
      </c>
      <c r="CR349" s="88" t="str">
        <f t="shared" si="18"/>
        <v/>
      </c>
      <c r="CS349" s="88" t="str">
        <f t="shared" si="19"/>
        <v/>
      </c>
      <c r="CT349" s="88" t="str">
        <f t="shared" si="20"/>
        <v/>
      </c>
      <c r="CU349" s="88" t="str">
        <f t="shared" si="21"/>
        <v/>
      </c>
      <c r="CV349" s="88" t="str">
        <f t="shared" si="22"/>
        <v/>
      </c>
      <c r="CW349" s="88" t="str">
        <f t="shared" si="23"/>
        <v/>
      </c>
      <c r="CX349" s="7"/>
      <c r="CY349" s="7"/>
      <c r="CZ349" s="7"/>
      <c r="DA349" s="8"/>
      <c r="DU349" s="93" t="str">
        <f t="shared" si="24"/>
        <v/>
      </c>
      <c r="DV349" s="93" t="str">
        <f>ABA!$A349</f>
        <v/>
      </c>
      <c r="DW349" s="82" t="str">
        <f t="shared" si="25"/>
        <v/>
      </c>
    </row>
    <row r="350" ht="15.75" customHeight="1">
      <c r="A350" s="85"/>
      <c r="B350" s="107"/>
      <c r="C350" s="98"/>
      <c r="D350" s="98"/>
      <c r="E350" s="99"/>
      <c r="F350" s="98"/>
      <c r="G350" s="98"/>
      <c r="H350" s="98"/>
      <c r="I350" s="99"/>
      <c r="J350" s="98"/>
      <c r="K350" s="98"/>
      <c r="L350" s="98"/>
      <c r="M350" s="99"/>
      <c r="N350" s="98"/>
      <c r="O350" s="98"/>
      <c r="P350" s="98"/>
      <c r="Q350" s="99"/>
      <c r="R350" s="98"/>
      <c r="S350" s="98"/>
      <c r="T350" s="98"/>
      <c r="U350" s="99"/>
      <c r="V350" s="98"/>
      <c r="W350" s="98"/>
      <c r="X350" s="98"/>
      <c r="Y350" s="100"/>
      <c r="Z350" s="98"/>
      <c r="AA350" s="98"/>
      <c r="AB350" s="98"/>
      <c r="AC350" s="99"/>
      <c r="AD350" s="98"/>
      <c r="AE350" s="98"/>
      <c r="AF350" s="98"/>
      <c r="AG350" s="99"/>
      <c r="AH350" s="98"/>
      <c r="AI350" s="98"/>
      <c r="AJ350" s="98"/>
      <c r="AK350" s="99"/>
      <c r="AL350" s="98"/>
      <c r="AM350" s="98"/>
      <c r="AN350" s="98"/>
      <c r="AO350" s="98"/>
      <c r="AP350" s="84" t="str">
        <f t="shared" si="2"/>
        <v/>
      </c>
      <c r="AQ350" s="9"/>
      <c r="AR350" s="9"/>
      <c r="AS350" s="8"/>
      <c r="AT350" s="9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8"/>
      <c r="BX350" s="9"/>
      <c r="BY350" s="9"/>
      <c r="BZ350" s="9"/>
      <c r="CA350" s="33"/>
      <c r="CB350" s="85" t="str">
        <f t="shared" si="3"/>
        <v/>
      </c>
      <c r="CC350" s="86" t="str">
        <f t="shared" si="4"/>
        <v/>
      </c>
      <c r="CD350" s="86" t="str">
        <f t="shared" si="5"/>
        <v/>
      </c>
      <c r="CE350" s="86" t="str">
        <f t="shared" si="6"/>
        <v/>
      </c>
      <c r="CF350" s="86" t="str">
        <f t="shared" si="7"/>
        <v/>
      </c>
      <c r="CG350" s="86" t="str">
        <f t="shared" si="8"/>
        <v/>
      </c>
      <c r="CH350" s="86" t="str">
        <f t="shared" si="9"/>
        <v/>
      </c>
      <c r="CI350" s="86" t="str">
        <f t="shared" si="10"/>
        <v/>
      </c>
      <c r="CJ350" s="86" t="str">
        <f t="shared" si="11"/>
        <v/>
      </c>
      <c r="CK350" s="86" t="str">
        <f t="shared" si="12"/>
        <v/>
      </c>
      <c r="CL350" s="86" t="str">
        <f t="shared" si="13"/>
        <v/>
      </c>
      <c r="CM350" s="87" t="str">
        <f t="shared" si="14"/>
        <v/>
      </c>
      <c r="CN350" s="88" t="str">
        <f t="shared" si="26"/>
        <v/>
      </c>
      <c r="CO350" s="88" t="str">
        <f t="shared" si="15"/>
        <v/>
      </c>
      <c r="CP350" s="88" t="str">
        <f t="shared" si="16"/>
        <v/>
      </c>
      <c r="CQ350" s="88" t="str">
        <f t="shared" si="17"/>
        <v/>
      </c>
      <c r="CR350" s="88" t="str">
        <f t="shared" si="18"/>
        <v/>
      </c>
      <c r="CS350" s="88" t="str">
        <f t="shared" si="19"/>
        <v/>
      </c>
      <c r="CT350" s="88" t="str">
        <f t="shared" si="20"/>
        <v/>
      </c>
      <c r="CU350" s="88" t="str">
        <f t="shared" si="21"/>
        <v/>
      </c>
      <c r="CV350" s="88" t="str">
        <f t="shared" si="22"/>
        <v/>
      </c>
      <c r="CW350" s="88" t="str">
        <f t="shared" si="23"/>
        <v/>
      </c>
      <c r="CX350" s="7"/>
      <c r="CY350" s="7"/>
      <c r="CZ350" s="7"/>
      <c r="DA350" s="8"/>
      <c r="DU350" s="104" t="str">
        <f t="shared" si="24"/>
        <v/>
      </c>
      <c r="DV350" s="104" t="str">
        <f>ABA!$A350</f>
        <v/>
      </c>
      <c r="DW350" s="98" t="str">
        <f t="shared" si="25"/>
        <v/>
      </c>
    </row>
    <row r="351" ht="15.75" customHeight="1">
      <c r="A351" s="78"/>
      <c r="B351" s="105"/>
      <c r="C351" s="82"/>
      <c r="D351" s="82"/>
      <c r="E351" s="83"/>
      <c r="F351" s="82"/>
      <c r="G351" s="82"/>
      <c r="H351" s="82"/>
      <c r="I351" s="83"/>
      <c r="J351" s="82"/>
      <c r="K351" s="82"/>
      <c r="L351" s="82"/>
      <c r="M351" s="83"/>
      <c r="N351" s="82"/>
      <c r="O351" s="82"/>
      <c r="P351" s="82"/>
      <c r="Q351" s="83"/>
      <c r="R351" s="82"/>
      <c r="S351" s="82"/>
      <c r="T351" s="82"/>
      <c r="U351" s="83"/>
      <c r="V351" s="82"/>
      <c r="W351" s="82"/>
      <c r="X351" s="82"/>
      <c r="Y351" s="83"/>
      <c r="Z351" s="82"/>
      <c r="AA351" s="82"/>
      <c r="AB351" s="82"/>
      <c r="AC351" s="83"/>
      <c r="AD351" s="82"/>
      <c r="AE351" s="82"/>
      <c r="AF351" s="82"/>
      <c r="AG351" s="83"/>
      <c r="AH351" s="82"/>
      <c r="AI351" s="82"/>
      <c r="AJ351" s="82"/>
      <c r="AK351" s="83"/>
      <c r="AL351" s="82"/>
      <c r="AM351" s="82"/>
      <c r="AN351" s="82"/>
      <c r="AO351" s="82"/>
      <c r="AP351" s="84" t="str">
        <f t="shared" si="2"/>
        <v/>
      </c>
      <c r="AQ351" s="9"/>
      <c r="AR351" s="9"/>
      <c r="AS351" s="8"/>
      <c r="AT351" s="9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8"/>
      <c r="BX351" s="9"/>
      <c r="BY351" s="9"/>
      <c r="BZ351" s="9"/>
      <c r="CA351" s="33"/>
      <c r="CB351" s="85" t="str">
        <f t="shared" si="3"/>
        <v/>
      </c>
      <c r="CC351" s="86" t="str">
        <f t="shared" si="4"/>
        <v/>
      </c>
      <c r="CD351" s="86" t="str">
        <f t="shared" si="5"/>
        <v/>
      </c>
      <c r="CE351" s="86" t="str">
        <f t="shared" si="6"/>
        <v/>
      </c>
      <c r="CF351" s="86" t="str">
        <f t="shared" si="7"/>
        <v/>
      </c>
      <c r="CG351" s="86" t="str">
        <f t="shared" si="8"/>
        <v/>
      </c>
      <c r="CH351" s="86" t="str">
        <f t="shared" si="9"/>
        <v/>
      </c>
      <c r="CI351" s="86" t="str">
        <f t="shared" si="10"/>
        <v/>
      </c>
      <c r="CJ351" s="86" t="str">
        <f t="shared" si="11"/>
        <v/>
      </c>
      <c r="CK351" s="86" t="str">
        <f t="shared" si="12"/>
        <v/>
      </c>
      <c r="CL351" s="86" t="str">
        <f t="shared" si="13"/>
        <v/>
      </c>
      <c r="CM351" s="87" t="str">
        <f t="shared" si="14"/>
        <v/>
      </c>
      <c r="CN351" s="88" t="str">
        <f t="shared" si="26"/>
        <v/>
      </c>
      <c r="CO351" s="88" t="str">
        <f t="shared" si="15"/>
        <v/>
      </c>
      <c r="CP351" s="88" t="str">
        <f t="shared" si="16"/>
        <v/>
      </c>
      <c r="CQ351" s="88" t="str">
        <f t="shared" si="17"/>
        <v/>
      </c>
      <c r="CR351" s="88" t="str">
        <f t="shared" si="18"/>
        <v/>
      </c>
      <c r="CS351" s="88" t="str">
        <f t="shared" si="19"/>
        <v/>
      </c>
      <c r="CT351" s="88" t="str">
        <f t="shared" si="20"/>
        <v/>
      </c>
      <c r="CU351" s="88" t="str">
        <f t="shared" si="21"/>
        <v/>
      </c>
      <c r="CV351" s="88" t="str">
        <f t="shared" si="22"/>
        <v/>
      </c>
      <c r="CW351" s="88" t="str">
        <f t="shared" si="23"/>
        <v/>
      </c>
      <c r="CX351" s="7"/>
      <c r="CY351" s="7"/>
      <c r="CZ351" s="7"/>
      <c r="DA351" s="8"/>
      <c r="DU351" s="93" t="str">
        <f t="shared" si="24"/>
        <v/>
      </c>
      <c r="DV351" s="93" t="str">
        <f>ABA!$A351</f>
        <v/>
      </c>
      <c r="DW351" s="82" t="str">
        <f t="shared" si="25"/>
        <v/>
      </c>
    </row>
    <row r="352" ht="15.75" customHeight="1">
      <c r="A352" s="85"/>
      <c r="B352" s="107"/>
      <c r="C352" s="98"/>
      <c r="D352" s="98"/>
      <c r="E352" s="99"/>
      <c r="F352" s="98"/>
      <c r="G352" s="98"/>
      <c r="H352" s="98"/>
      <c r="I352" s="99"/>
      <c r="J352" s="98"/>
      <c r="K352" s="98"/>
      <c r="L352" s="98"/>
      <c r="M352" s="99"/>
      <c r="N352" s="98"/>
      <c r="O352" s="98"/>
      <c r="P352" s="98"/>
      <c r="Q352" s="99"/>
      <c r="R352" s="98"/>
      <c r="S352" s="98"/>
      <c r="T352" s="98"/>
      <c r="U352" s="99"/>
      <c r="V352" s="98"/>
      <c r="W352" s="98"/>
      <c r="X352" s="98"/>
      <c r="Y352" s="100"/>
      <c r="Z352" s="98"/>
      <c r="AA352" s="98"/>
      <c r="AB352" s="98"/>
      <c r="AC352" s="99"/>
      <c r="AD352" s="98"/>
      <c r="AE352" s="98"/>
      <c r="AF352" s="98"/>
      <c r="AG352" s="99"/>
      <c r="AH352" s="98"/>
      <c r="AI352" s="98"/>
      <c r="AJ352" s="98"/>
      <c r="AK352" s="99"/>
      <c r="AL352" s="98"/>
      <c r="AM352" s="98"/>
      <c r="AN352" s="98"/>
      <c r="AO352" s="98"/>
      <c r="AP352" s="84" t="str">
        <f t="shared" si="2"/>
        <v/>
      </c>
      <c r="AQ352" s="9"/>
      <c r="AR352" s="9"/>
      <c r="AS352" s="8"/>
      <c r="AT352" s="9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8"/>
      <c r="BX352" s="9"/>
      <c r="BY352" s="9"/>
      <c r="BZ352" s="9"/>
      <c r="CA352" s="33"/>
      <c r="CB352" s="85" t="str">
        <f t="shared" si="3"/>
        <v/>
      </c>
      <c r="CC352" s="86" t="str">
        <f t="shared" si="4"/>
        <v/>
      </c>
      <c r="CD352" s="86" t="str">
        <f t="shared" si="5"/>
        <v/>
      </c>
      <c r="CE352" s="86" t="str">
        <f t="shared" si="6"/>
        <v/>
      </c>
      <c r="CF352" s="86" t="str">
        <f t="shared" si="7"/>
        <v/>
      </c>
      <c r="CG352" s="86" t="str">
        <f t="shared" si="8"/>
        <v/>
      </c>
      <c r="CH352" s="86" t="str">
        <f t="shared" si="9"/>
        <v/>
      </c>
      <c r="CI352" s="86" t="str">
        <f t="shared" si="10"/>
        <v/>
      </c>
      <c r="CJ352" s="86" t="str">
        <f t="shared" si="11"/>
        <v/>
      </c>
      <c r="CK352" s="86" t="str">
        <f t="shared" si="12"/>
        <v/>
      </c>
      <c r="CL352" s="86" t="str">
        <f t="shared" si="13"/>
        <v/>
      </c>
      <c r="CM352" s="87" t="str">
        <f t="shared" si="14"/>
        <v/>
      </c>
      <c r="CN352" s="88" t="str">
        <f t="shared" si="26"/>
        <v/>
      </c>
      <c r="CO352" s="88" t="str">
        <f t="shared" si="15"/>
        <v/>
      </c>
      <c r="CP352" s="88" t="str">
        <f t="shared" si="16"/>
        <v/>
      </c>
      <c r="CQ352" s="88" t="str">
        <f t="shared" si="17"/>
        <v/>
      </c>
      <c r="CR352" s="88" t="str">
        <f t="shared" si="18"/>
        <v/>
      </c>
      <c r="CS352" s="88" t="str">
        <f t="shared" si="19"/>
        <v/>
      </c>
      <c r="CT352" s="88" t="str">
        <f t="shared" si="20"/>
        <v/>
      </c>
      <c r="CU352" s="88" t="str">
        <f t="shared" si="21"/>
        <v/>
      </c>
      <c r="CV352" s="88" t="str">
        <f t="shared" si="22"/>
        <v/>
      </c>
      <c r="CW352" s="88" t="str">
        <f t="shared" si="23"/>
        <v/>
      </c>
      <c r="CX352" s="7"/>
      <c r="CY352" s="7"/>
      <c r="CZ352" s="7"/>
      <c r="DA352" s="8"/>
      <c r="DU352" s="104" t="str">
        <f t="shared" si="24"/>
        <v/>
      </c>
      <c r="DV352" s="104" t="str">
        <f>ABA!$A352</f>
        <v/>
      </c>
      <c r="DW352" s="98" t="str">
        <f t="shared" si="25"/>
        <v/>
      </c>
    </row>
    <row r="353" ht="15.75" customHeight="1">
      <c r="A353" s="78"/>
      <c r="B353" s="105"/>
      <c r="C353" s="82"/>
      <c r="D353" s="82"/>
      <c r="E353" s="83"/>
      <c r="F353" s="82"/>
      <c r="G353" s="82"/>
      <c r="H353" s="82"/>
      <c r="I353" s="83"/>
      <c r="J353" s="82"/>
      <c r="K353" s="82"/>
      <c r="L353" s="82"/>
      <c r="M353" s="83"/>
      <c r="N353" s="82"/>
      <c r="O353" s="82"/>
      <c r="P353" s="82"/>
      <c r="Q353" s="83"/>
      <c r="R353" s="82"/>
      <c r="S353" s="82"/>
      <c r="T353" s="82"/>
      <c r="U353" s="83"/>
      <c r="V353" s="82"/>
      <c r="W353" s="82"/>
      <c r="X353" s="82"/>
      <c r="Y353" s="83"/>
      <c r="Z353" s="82"/>
      <c r="AA353" s="82"/>
      <c r="AB353" s="82"/>
      <c r="AC353" s="83"/>
      <c r="AD353" s="82"/>
      <c r="AE353" s="82"/>
      <c r="AF353" s="82"/>
      <c r="AG353" s="83"/>
      <c r="AH353" s="82"/>
      <c r="AI353" s="82"/>
      <c r="AJ353" s="82"/>
      <c r="AK353" s="83"/>
      <c r="AL353" s="82"/>
      <c r="AM353" s="82"/>
      <c r="AN353" s="82"/>
      <c r="AO353" s="82"/>
      <c r="AP353" s="84" t="str">
        <f t="shared" si="2"/>
        <v/>
      </c>
      <c r="AQ353" s="9"/>
      <c r="AR353" s="9"/>
      <c r="AS353" s="8"/>
      <c r="AT353" s="9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8"/>
      <c r="BX353" s="9"/>
      <c r="BY353" s="9"/>
      <c r="BZ353" s="9"/>
      <c r="CA353" s="33"/>
      <c r="CB353" s="85" t="str">
        <f t="shared" si="3"/>
        <v/>
      </c>
      <c r="CC353" s="86" t="str">
        <f t="shared" si="4"/>
        <v/>
      </c>
      <c r="CD353" s="86" t="str">
        <f t="shared" si="5"/>
        <v/>
      </c>
      <c r="CE353" s="86" t="str">
        <f t="shared" si="6"/>
        <v/>
      </c>
      <c r="CF353" s="86" t="str">
        <f t="shared" si="7"/>
        <v/>
      </c>
      <c r="CG353" s="86" t="str">
        <f t="shared" si="8"/>
        <v/>
      </c>
      <c r="CH353" s="86" t="str">
        <f t="shared" si="9"/>
        <v/>
      </c>
      <c r="CI353" s="86" t="str">
        <f t="shared" si="10"/>
        <v/>
      </c>
      <c r="CJ353" s="86" t="str">
        <f t="shared" si="11"/>
        <v/>
      </c>
      <c r="CK353" s="86" t="str">
        <f t="shared" si="12"/>
        <v/>
      </c>
      <c r="CL353" s="86" t="str">
        <f t="shared" si="13"/>
        <v/>
      </c>
      <c r="CM353" s="87" t="str">
        <f t="shared" si="14"/>
        <v/>
      </c>
      <c r="CN353" s="88" t="str">
        <f t="shared" si="26"/>
        <v/>
      </c>
      <c r="CO353" s="88" t="str">
        <f t="shared" si="15"/>
        <v/>
      </c>
      <c r="CP353" s="88" t="str">
        <f t="shared" si="16"/>
        <v/>
      </c>
      <c r="CQ353" s="88" t="str">
        <f t="shared" si="17"/>
        <v/>
      </c>
      <c r="CR353" s="88" t="str">
        <f t="shared" si="18"/>
        <v/>
      </c>
      <c r="CS353" s="88" t="str">
        <f t="shared" si="19"/>
        <v/>
      </c>
      <c r="CT353" s="88" t="str">
        <f t="shared" si="20"/>
        <v/>
      </c>
      <c r="CU353" s="88" t="str">
        <f t="shared" si="21"/>
        <v/>
      </c>
      <c r="CV353" s="88" t="str">
        <f t="shared" si="22"/>
        <v/>
      </c>
      <c r="CW353" s="88" t="str">
        <f t="shared" si="23"/>
        <v/>
      </c>
      <c r="CX353" s="7"/>
      <c r="CY353" s="7"/>
      <c r="CZ353" s="7"/>
      <c r="DA353" s="8"/>
      <c r="DU353" s="93" t="str">
        <f t="shared" si="24"/>
        <v/>
      </c>
      <c r="DV353" s="93" t="str">
        <f>ABA!$A353</f>
        <v/>
      </c>
      <c r="DW353" s="82" t="str">
        <f t="shared" si="25"/>
        <v/>
      </c>
    </row>
    <row r="354" ht="15.75" customHeight="1">
      <c r="A354" s="85"/>
      <c r="B354" s="107"/>
      <c r="C354" s="98"/>
      <c r="D354" s="98"/>
      <c r="E354" s="99"/>
      <c r="F354" s="98"/>
      <c r="G354" s="98"/>
      <c r="H354" s="98"/>
      <c r="I354" s="99"/>
      <c r="J354" s="98"/>
      <c r="K354" s="98"/>
      <c r="L354" s="98"/>
      <c r="M354" s="99"/>
      <c r="N354" s="98"/>
      <c r="O354" s="98"/>
      <c r="P354" s="98"/>
      <c r="Q354" s="99"/>
      <c r="R354" s="98"/>
      <c r="S354" s="98"/>
      <c r="T354" s="98"/>
      <c r="U354" s="99"/>
      <c r="V354" s="98"/>
      <c r="W354" s="98"/>
      <c r="X354" s="98"/>
      <c r="Y354" s="100"/>
      <c r="Z354" s="98"/>
      <c r="AA354" s="98"/>
      <c r="AB354" s="98"/>
      <c r="AC354" s="99"/>
      <c r="AD354" s="98"/>
      <c r="AE354" s="98"/>
      <c r="AF354" s="98"/>
      <c r="AG354" s="99"/>
      <c r="AH354" s="98"/>
      <c r="AI354" s="98"/>
      <c r="AJ354" s="98"/>
      <c r="AK354" s="99"/>
      <c r="AL354" s="98"/>
      <c r="AM354" s="98"/>
      <c r="AN354" s="98"/>
      <c r="AO354" s="98"/>
      <c r="AP354" s="84" t="str">
        <f t="shared" si="2"/>
        <v/>
      </c>
      <c r="AQ354" s="9"/>
      <c r="AR354" s="9"/>
      <c r="AS354" s="8"/>
      <c r="AT354" s="9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8"/>
      <c r="BX354" s="9"/>
      <c r="BY354" s="9"/>
      <c r="BZ354" s="9"/>
      <c r="CA354" s="33"/>
      <c r="CB354" s="85" t="str">
        <f t="shared" si="3"/>
        <v/>
      </c>
      <c r="CC354" s="86" t="str">
        <f t="shared" si="4"/>
        <v/>
      </c>
      <c r="CD354" s="86" t="str">
        <f t="shared" si="5"/>
        <v/>
      </c>
      <c r="CE354" s="86" t="str">
        <f t="shared" si="6"/>
        <v/>
      </c>
      <c r="CF354" s="86" t="str">
        <f t="shared" si="7"/>
        <v/>
      </c>
      <c r="CG354" s="86" t="str">
        <f t="shared" si="8"/>
        <v/>
      </c>
      <c r="CH354" s="86" t="str">
        <f t="shared" si="9"/>
        <v/>
      </c>
      <c r="CI354" s="86" t="str">
        <f t="shared" si="10"/>
        <v/>
      </c>
      <c r="CJ354" s="86" t="str">
        <f t="shared" si="11"/>
        <v/>
      </c>
      <c r="CK354" s="86" t="str">
        <f t="shared" si="12"/>
        <v/>
      </c>
      <c r="CL354" s="86" t="str">
        <f t="shared" si="13"/>
        <v/>
      </c>
      <c r="CM354" s="87" t="str">
        <f t="shared" si="14"/>
        <v/>
      </c>
      <c r="CN354" s="88" t="str">
        <f t="shared" si="26"/>
        <v/>
      </c>
      <c r="CO354" s="88" t="str">
        <f t="shared" si="15"/>
        <v/>
      </c>
      <c r="CP354" s="88" t="str">
        <f t="shared" si="16"/>
        <v/>
      </c>
      <c r="CQ354" s="88" t="str">
        <f t="shared" si="17"/>
        <v/>
      </c>
      <c r="CR354" s="88" t="str">
        <f t="shared" si="18"/>
        <v/>
      </c>
      <c r="CS354" s="88" t="str">
        <f t="shared" si="19"/>
        <v/>
      </c>
      <c r="CT354" s="88" t="str">
        <f t="shared" si="20"/>
        <v/>
      </c>
      <c r="CU354" s="88" t="str">
        <f t="shared" si="21"/>
        <v/>
      </c>
      <c r="CV354" s="88" t="str">
        <f t="shared" si="22"/>
        <v/>
      </c>
      <c r="CW354" s="88" t="str">
        <f t="shared" si="23"/>
        <v/>
      </c>
      <c r="CX354" s="7"/>
      <c r="CY354" s="7"/>
      <c r="CZ354" s="7"/>
      <c r="DA354" s="8"/>
      <c r="DU354" s="104" t="str">
        <f t="shared" si="24"/>
        <v/>
      </c>
      <c r="DV354" s="104" t="str">
        <f>ABA!$A354</f>
        <v/>
      </c>
      <c r="DW354" s="98" t="str">
        <f t="shared" si="25"/>
        <v/>
      </c>
    </row>
    <row r="355" ht="15.75" customHeight="1">
      <c r="A355" s="78"/>
      <c r="B355" s="105"/>
      <c r="C355" s="82"/>
      <c r="D355" s="82"/>
      <c r="E355" s="83"/>
      <c r="F355" s="82"/>
      <c r="G355" s="82"/>
      <c r="H355" s="82"/>
      <c r="I355" s="83"/>
      <c r="J355" s="82"/>
      <c r="K355" s="82"/>
      <c r="L355" s="82"/>
      <c r="M355" s="83"/>
      <c r="N355" s="82"/>
      <c r="O355" s="82"/>
      <c r="P355" s="82"/>
      <c r="Q355" s="83"/>
      <c r="R355" s="82"/>
      <c r="S355" s="82"/>
      <c r="T355" s="82"/>
      <c r="U355" s="83"/>
      <c r="V355" s="82"/>
      <c r="W355" s="82"/>
      <c r="X355" s="82"/>
      <c r="Y355" s="83"/>
      <c r="Z355" s="82"/>
      <c r="AA355" s="82"/>
      <c r="AB355" s="82"/>
      <c r="AC355" s="83"/>
      <c r="AD355" s="82"/>
      <c r="AE355" s="82"/>
      <c r="AF355" s="82"/>
      <c r="AG355" s="83"/>
      <c r="AH355" s="82"/>
      <c r="AI355" s="82"/>
      <c r="AJ355" s="82"/>
      <c r="AK355" s="83"/>
      <c r="AL355" s="82"/>
      <c r="AM355" s="82"/>
      <c r="AN355" s="82"/>
      <c r="AO355" s="82"/>
      <c r="AP355" s="84" t="str">
        <f t="shared" si="2"/>
        <v/>
      </c>
      <c r="AQ355" s="9"/>
      <c r="AR355" s="9"/>
      <c r="AS355" s="8"/>
      <c r="AT355" s="9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8"/>
      <c r="BX355" s="9"/>
      <c r="BY355" s="9"/>
      <c r="BZ355" s="9"/>
      <c r="CA355" s="33"/>
      <c r="CB355" s="85" t="str">
        <f t="shared" si="3"/>
        <v/>
      </c>
      <c r="CC355" s="86" t="str">
        <f t="shared" si="4"/>
        <v/>
      </c>
      <c r="CD355" s="86" t="str">
        <f t="shared" si="5"/>
        <v/>
      </c>
      <c r="CE355" s="86" t="str">
        <f t="shared" si="6"/>
        <v/>
      </c>
      <c r="CF355" s="86" t="str">
        <f t="shared" si="7"/>
        <v/>
      </c>
      <c r="CG355" s="86" t="str">
        <f t="shared" si="8"/>
        <v/>
      </c>
      <c r="CH355" s="86" t="str">
        <f t="shared" si="9"/>
        <v/>
      </c>
      <c r="CI355" s="86" t="str">
        <f t="shared" si="10"/>
        <v/>
      </c>
      <c r="CJ355" s="86" t="str">
        <f t="shared" si="11"/>
        <v/>
      </c>
      <c r="CK355" s="86" t="str">
        <f t="shared" si="12"/>
        <v/>
      </c>
      <c r="CL355" s="86" t="str">
        <f t="shared" si="13"/>
        <v/>
      </c>
      <c r="CM355" s="87" t="str">
        <f t="shared" si="14"/>
        <v/>
      </c>
      <c r="CN355" s="88" t="str">
        <f t="shared" si="26"/>
        <v/>
      </c>
      <c r="CO355" s="88" t="str">
        <f t="shared" si="15"/>
        <v/>
      </c>
      <c r="CP355" s="88" t="str">
        <f t="shared" si="16"/>
        <v/>
      </c>
      <c r="CQ355" s="88" t="str">
        <f t="shared" si="17"/>
        <v/>
      </c>
      <c r="CR355" s="88" t="str">
        <f t="shared" si="18"/>
        <v/>
      </c>
      <c r="CS355" s="88" t="str">
        <f t="shared" si="19"/>
        <v/>
      </c>
      <c r="CT355" s="88" t="str">
        <f t="shared" si="20"/>
        <v/>
      </c>
      <c r="CU355" s="88" t="str">
        <f t="shared" si="21"/>
        <v/>
      </c>
      <c r="CV355" s="88" t="str">
        <f t="shared" si="22"/>
        <v/>
      </c>
      <c r="CW355" s="88" t="str">
        <f t="shared" si="23"/>
        <v/>
      </c>
      <c r="CX355" s="7"/>
      <c r="CY355" s="7"/>
      <c r="CZ355" s="7"/>
      <c r="DA355" s="8"/>
      <c r="DU355" s="93" t="str">
        <f t="shared" si="24"/>
        <v/>
      </c>
      <c r="DV355" s="93" t="str">
        <f>ABA!$A355</f>
        <v/>
      </c>
      <c r="DW355" s="82" t="str">
        <f t="shared" si="25"/>
        <v/>
      </c>
    </row>
    <row r="356" ht="15.75" customHeight="1">
      <c r="A356" s="85"/>
      <c r="B356" s="107"/>
      <c r="C356" s="98"/>
      <c r="D356" s="98"/>
      <c r="E356" s="99"/>
      <c r="F356" s="98"/>
      <c r="G356" s="98"/>
      <c r="H356" s="98"/>
      <c r="I356" s="99"/>
      <c r="J356" s="98"/>
      <c r="K356" s="98"/>
      <c r="L356" s="98"/>
      <c r="M356" s="99"/>
      <c r="N356" s="98"/>
      <c r="O356" s="98"/>
      <c r="P356" s="98"/>
      <c r="Q356" s="99"/>
      <c r="R356" s="98"/>
      <c r="S356" s="98"/>
      <c r="T356" s="98"/>
      <c r="U356" s="99"/>
      <c r="V356" s="98"/>
      <c r="W356" s="98"/>
      <c r="X356" s="98"/>
      <c r="Y356" s="100"/>
      <c r="Z356" s="98"/>
      <c r="AA356" s="98"/>
      <c r="AB356" s="98"/>
      <c r="AC356" s="99"/>
      <c r="AD356" s="98"/>
      <c r="AE356" s="98"/>
      <c r="AF356" s="98"/>
      <c r="AG356" s="99"/>
      <c r="AH356" s="98"/>
      <c r="AI356" s="98"/>
      <c r="AJ356" s="98"/>
      <c r="AK356" s="99"/>
      <c r="AL356" s="98"/>
      <c r="AM356" s="98"/>
      <c r="AN356" s="98"/>
      <c r="AO356" s="98"/>
      <c r="AP356" s="84" t="str">
        <f t="shared" si="2"/>
        <v/>
      </c>
      <c r="AQ356" s="9"/>
      <c r="AR356" s="9"/>
      <c r="AS356" s="8"/>
      <c r="AT356" s="9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8"/>
      <c r="BX356" s="9"/>
      <c r="BY356" s="9"/>
      <c r="BZ356" s="9"/>
      <c r="CA356" s="33"/>
      <c r="CB356" s="85" t="str">
        <f t="shared" si="3"/>
        <v/>
      </c>
      <c r="CC356" s="86" t="str">
        <f t="shared" si="4"/>
        <v/>
      </c>
      <c r="CD356" s="86" t="str">
        <f t="shared" si="5"/>
        <v/>
      </c>
      <c r="CE356" s="86" t="str">
        <f t="shared" si="6"/>
        <v/>
      </c>
      <c r="CF356" s="86" t="str">
        <f t="shared" si="7"/>
        <v/>
      </c>
      <c r="CG356" s="86" t="str">
        <f t="shared" si="8"/>
        <v/>
      </c>
      <c r="CH356" s="86" t="str">
        <f t="shared" si="9"/>
        <v/>
      </c>
      <c r="CI356" s="86" t="str">
        <f t="shared" si="10"/>
        <v/>
      </c>
      <c r="CJ356" s="86" t="str">
        <f t="shared" si="11"/>
        <v/>
      </c>
      <c r="CK356" s="86" t="str">
        <f t="shared" si="12"/>
        <v/>
      </c>
      <c r="CL356" s="86" t="str">
        <f t="shared" si="13"/>
        <v/>
      </c>
      <c r="CM356" s="87" t="str">
        <f t="shared" si="14"/>
        <v/>
      </c>
      <c r="CN356" s="88" t="str">
        <f t="shared" si="26"/>
        <v/>
      </c>
      <c r="CO356" s="88" t="str">
        <f t="shared" si="15"/>
        <v/>
      </c>
      <c r="CP356" s="88" t="str">
        <f t="shared" si="16"/>
        <v/>
      </c>
      <c r="CQ356" s="88" t="str">
        <f t="shared" si="17"/>
        <v/>
      </c>
      <c r="CR356" s="88" t="str">
        <f t="shared" si="18"/>
        <v/>
      </c>
      <c r="CS356" s="88" t="str">
        <f t="shared" si="19"/>
        <v/>
      </c>
      <c r="CT356" s="88" t="str">
        <f t="shared" si="20"/>
        <v/>
      </c>
      <c r="CU356" s="88" t="str">
        <f t="shared" si="21"/>
        <v/>
      </c>
      <c r="CV356" s="88" t="str">
        <f t="shared" si="22"/>
        <v/>
      </c>
      <c r="CW356" s="88" t="str">
        <f t="shared" si="23"/>
        <v/>
      </c>
      <c r="CX356" s="7"/>
      <c r="CY356" s="7"/>
      <c r="CZ356" s="7"/>
      <c r="DA356" s="8"/>
      <c r="DU356" s="104" t="str">
        <f t="shared" si="24"/>
        <v/>
      </c>
      <c r="DV356" s="104" t="str">
        <f>ABA!$A356</f>
        <v/>
      </c>
      <c r="DW356" s="98" t="str">
        <f t="shared" si="25"/>
        <v/>
      </c>
    </row>
    <row r="357" ht="15.75" customHeight="1">
      <c r="A357" s="78"/>
      <c r="B357" s="105"/>
      <c r="C357" s="82"/>
      <c r="D357" s="82"/>
      <c r="E357" s="83"/>
      <c r="F357" s="82"/>
      <c r="G357" s="82"/>
      <c r="H357" s="82"/>
      <c r="I357" s="83"/>
      <c r="J357" s="82"/>
      <c r="K357" s="82"/>
      <c r="L357" s="82"/>
      <c r="M357" s="83"/>
      <c r="N357" s="82"/>
      <c r="O357" s="82"/>
      <c r="P357" s="82"/>
      <c r="Q357" s="83"/>
      <c r="R357" s="82"/>
      <c r="S357" s="82"/>
      <c r="T357" s="82"/>
      <c r="U357" s="83"/>
      <c r="V357" s="82"/>
      <c r="W357" s="82"/>
      <c r="X357" s="82"/>
      <c r="Y357" s="83"/>
      <c r="Z357" s="82"/>
      <c r="AA357" s="82"/>
      <c r="AB357" s="82"/>
      <c r="AC357" s="83"/>
      <c r="AD357" s="82"/>
      <c r="AE357" s="82"/>
      <c r="AF357" s="82"/>
      <c r="AG357" s="83"/>
      <c r="AH357" s="82"/>
      <c r="AI357" s="82"/>
      <c r="AJ357" s="82"/>
      <c r="AK357" s="83"/>
      <c r="AL357" s="82"/>
      <c r="AM357" s="82"/>
      <c r="AN357" s="82"/>
      <c r="AO357" s="82"/>
      <c r="AP357" s="84" t="str">
        <f t="shared" si="2"/>
        <v/>
      </c>
      <c r="AQ357" s="9"/>
      <c r="AR357" s="9"/>
      <c r="AS357" s="8"/>
      <c r="AT357" s="9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8"/>
      <c r="BX357" s="9"/>
      <c r="BY357" s="9"/>
      <c r="BZ357" s="9"/>
      <c r="CA357" s="33"/>
      <c r="CB357" s="85" t="str">
        <f t="shared" si="3"/>
        <v/>
      </c>
      <c r="CC357" s="86" t="str">
        <f t="shared" si="4"/>
        <v/>
      </c>
      <c r="CD357" s="86" t="str">
        <f t="shared" si="5"/>
        <v/>
      </c>
      <c r="CE357" s="86" t="str">
        <f t="shared" si="6"/>
        <v/>
      </c>
      <c r="CF357" s="86" t="str">
        <f t="shared" si="7"/>
        <v/>
      </c>
      <c r="CG357" s="86" t="str">
        <f t="shared" si="8"/>
        <v/>
      </c>
      <c r="CH357" s="86" t="str">
        <f t="shared" si="9"/>
        <v/>
      </c>
      <c r="CI357" s="86" t="str">
        <f t="shared" si="10"/>
        <v/>
      </c>
      <c r="CJ357" s="86" t="str">
        <f t="shared" si="11"/>
        <v/>
      </c>
      <c r="CK357" s="86" t="str">
        <f t="shared" si="12"/>
        <v/>
      </c>
      <c r="CL357" s="86" t="str">
        <f t="shared" si="13"/>
        <v/>
      </c>
      <c r="CM357" s="87" t="str">
        <f t="shared" si="14"/>
        <v/>
      </c>
      <c r="CN357" s="88" t="str">
        <f t="shared" si="26"/>
        <v/>
      </c>
      <c r="CO357" s="88" t="str">
        <f t="shared" si="15"/>
        <v/>
      </c>
      <c r="CP357" s="88" t="str">
        <f t="shared" si="16"/>
        <v/>
      </c>
      <c r="CQ357" s="88" t="str">
        <f t="shared" si="17"/>
        <v/>
      </c>
      <c r="CR357" s="88" t="str">
        <f t="shared" si="18"/>
        <v/>
      </c>
      <c r="CS357" s="88" t="str">
        <f t="shared" si="19"/>
        <v/>
      </c>
      <c r="CT357" s="88" t="str">
        <f t="shared" si="20"/>
        <v/>
      </c>
      <c r="CU357" s="88" t="str">
        <f t="shared" si="21"/>
        <v/>
      </c>
      <c r="CV357" s="88" t="str">
        <f t="shared" si="22"/>
        <v/>
      </c>
      <c r="CW357" s="88" t="str">
        <f t="shared" si="23"/>
        <v/>
      </c>
      <c r="CX357" s="7"/>
      <c r="CY357" s="7"/>
      <c r="CZ357" s="7"/>
      <c r="DA357" s="8"/>
      <c r="DU357" s="93" t="str">
        <f t="shared" si="24"/>
        <v/>
      </c>
      <c r="DV357" s="93" t="str">
        <f>ABA!$A357</f>
        <v/>
      </c>
      <c r="DW357" s="82" t="str">
        <f t="shared" si="25"/>
        <v/>
      </c>
    </row>
    <row r="358" ht="15.75" customHeight="1">
      <c r="A358" s="85"/>
      <c r="B358" s="107"/>
      <c r="C358" s="98"/>
      <c r="D358" s="98"/>
      <c r="E358" s="99"/>
      <c r="F358" s="98"/>
      <c r="G358" s="98"/>
      <c r="H358" s="98"/>
      <c r="I358" s="99"/>
      <c r="J358" s="98"/>
      <c r="K358" s="98"/>
      <c r="L358" s="98"/>
      <c r="M358" s="99"/>
      <c r="N358" s="98"/>
      <c r="O358" s="98"/>
      <c r="P358" s="98"/>
      <c r="Q358" s="99"/>
      <c r="R358" s="98"/>
      <c r="S358" s="98"/>
      <c r="T358" s="98"/>
      <c r="U358" s="99"/>
      <c r="V358" s="98"/>
      <c r="W358" s="98"/>
      <c r="X358" s="98"/>
      <c r="Y358" s="100"/>
      <c r="Z358" s="98"/>
      <c r="AA358" s="98"/>
      <c r="AB358" s="98"/>
      <c r="AC358" s="99"/>
      <c r="AD358" s="98"/>
      <c r="AE358" s="98"/>
      <c r="AF358" s="98"/>
      <c r="AG358" s="99"/>
      <c r="AH358" s="98"/>
      <c r="AI358" s="98"/>
      <c r="AJ358" s="98"/>
      <c r="AK358" s="99"/>
      <c r="AL358" s="98"/>
      <c r="AM358" s="98"/>
      <c r="AN358" s="98"/>
      <c r="AO358" s="98"/>
      <c r="AP358" s="84" t="str">
        <f t="shared" si="2"/>
        <v/>
      </c>
      <c r="AQ358" s="9"/>
      <c r="AR358" s="9"/>
      <c r="AS358" s="8"/>
      <c r="AT358" s="9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8"/>
      <c r="BX358" s="9"/>
      <c r="BY358" s="9"/>
      <c r="BZ358" s="9"/>
      <c r="CA358" s="33"/>
      <c r="CB358" s="85" t="str">
        <f t="shared" si="3"/>
        <v/>
      </c>
      <c r="CC358" s="86" t="str">
        <f t="shared" si="4"/>
        <v/>
      </c>
      <c r="CD358" s="86" t="str">
        <f t="shared" si="5"/>
        <v/>
      </c>
      <c r="CE358" s="86" t="str">
        <f t="shared" si="6"/>
        <v/>
      </c>
      <c r="CF358" s="86" t="str">
        <f t="shared" si="7"/>
        <v/>
      </c>
      <c r="CG358" s="86" t="str">
        <f t="shared" si="8"/>
        <v/>
      </c>
      <c r="CH358" s="86" t="str">
        <f t="shared" si="9"/>
        <v/>
      </c>
      <c r="CI358" s="86" t="str">
        <f t="shared" si="10"/>
        <v/>
      </c>
      <c r="CJ358" s="86" t="str">
        <f t="shared" si="11"/>
        <v/>
      </c>
      <c r="CK358" s="86" t="str">
        <f t="shared" si="12"/>
        <v/>
      </c>
      <c r="CL358" s="86" t="str">
        <f t="shared" si="13"/>
        <v/>
      </c>
      <c r="CM358" s="87" t="str">
        <f t="shared" si="14"/>
        <v/>
      </c>
      <c r="CN358" s="88" t="str">
        <f t="shared" si="26"/>
        <v/>
      </c>
      <c r="CO358" s="88" t="str">
        <f t="shared" si="15"/>
        <v/>
      </c>
      <c r="CP358" s="88" t="str">
        <f t="shared" si="16"/>
        <v/>
      </c>
      <c r="CQ358" s="88" t="str">
        <f t="shared" si="17"/>
        <v/>
      </c>
      <c r="CR358" s="88" t="str">
        <f t="shared" si="18"/>
        <v/>
      </c>
      <c r="CS358" s="88" t="str">
        <f t="shared" si="19"/>
        <v/>
      </c>
      <c r="CT358" s="88" t="str">
        <f t="shared" si="20"/>
        <v/>
      </c>
      <c r="CU358" s="88" t="str">
        <f t="shared" si="21"/>
        <v/>
      </c>
      <c r="CV358" s="88" t="str">
        <f t="shared" si="22"/>
        <v/>
      </c>
      <c r="CW358" s="88" t="str">
        <f t="shared" si="23"/>
        <v/>
      </c>
      <c r="CX358" s="7"/>
      <c r="CY358" s="7"/>
      <c r="CZ358" s="7"/>
      <c r="DA358" s="8"/>
      <c r="DU358" s="104" t="str">
        <f t="shared" si="24"/>
        <v/>
      </c>
      <c r="DV358" s="104" t="str">
        <f>ABA!$A358</f>
        <v/>
      </c>
      <c r="DW358" s="98" t="str">
        <f t="shared" si="25"/>
        <v/>
      </c>
    </row>
    <row r="359" ht="15.75" customHeight="1">
      <c r="A359" s="78"/>
      <c r="B359" s="105"/>
      <c r="C359" s="82"/>
      <c r="D359" s="82"/>
      <c r="E359" s="83"/>
      <c r="F359" s="82"/>
      <c r="G359" s="82"/>
      <c r="H359" s="82"/>
      <c r="I359" s="83"/>
      <c r="J359" s="82"/>
      <c r="K359" s="82"/>
      <c r="L359" s="82"/>
      <c r="M359" s="83"/>
      <c r="N359" s="82"/>
      <c r="O359" s="82"/>
      <c r="P359" s="82"/>
      <c r="Q359" s="83"/>
      <c r="R359" s="82"/>
      <c r="S359" s="82"/>
      <c r="T359" s="82"/>
      <c r="U359" s="83"/>
      <c r="V359" s="82"/>
      <c r="W359" s="82"/>
      <c r="X359" s="82"/>
      <c r="Y359" s="83"/>
      <c r="Z359" s="82"/>
      <c r="AA359" s="82"/>
      <c r="AB359" s="82"/>
      <c r="AC359" s="83"/>
      <c r="AD359" s="82"/>
      <c r="AE359" s="82"/>
      <c r="AF359" s="82"/>
      <c r="AG359" s="83"/>
      <c r="AH359" s="82"/>
      <c r="AI359" s="82"/>
      <c r="AJ359" s="82"/>
      <c r="AK359" s="83"/>
      <c r="AL359" s="82"/>
      <c r="AM359" s="82"/>
      <c r="AN359" s="82"/>
      <c r="AO359" s="82"/>
      <c r="AP359" s="84" t="str">
        <f t="shared" si="2"/>
        <v/>
      </c>
      <c r="AQ359" s="9"/>
      <c r="AR359" s="9"/>
      <c r="AS359" s="8"/>
      <c r="AT359" s="9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8"/>
      <c r="BX359" s="9"/>
      <c r="BY359" s="9"/>
      <c r="BZ359" s="9"/>
      <c r="CA359" s="33"/>
      <c r="CB359" s="85" t="str">
        <f t="shared" si="3"/>
        <v/>
      </c>
      <c r="CC359" s="86" t="str">
        <f t="shared" si="4"/>
        <v/>
      </c>
      <c r="CD359" s="86" t="str">
        <f t="shared" si="5"/>
        <v/>
      </c>
      <c r="CE359" s="86" t="str">
        <f t="shared" si="6"/>
        <v/>
      </c>
      <c r="CF359" s="86" t="str">
        <f t="shared" si="7"/>
        <v/>
      </c>
      <c r="CG359" s="86" t="str">
        <f t="shared" si="8"/>
        <v/>
      </c>
      <c r="CH359" s="86" t="str">
        <f t="shared" si="9"/>
        <v/>
      </c>
      <c r="CI359" s="86" t="str">
        <f t="shared" si="10"/>
        <v/>
      </c>
      <c r="CJ359" s="86" t="str">
        <f t="shared" si="11"/>
        <v/>
      </c>
      <c r="CK359" s="86" t="str">
        <f t="shared" si="12"/>
        <v/>
      </c>
      <c r="CL359" s="86" t="str">
        <f t="shared" si="13"/>
        <v/>
      </c>
      <c r="CM359" s="87" t="str">
        <f t="shared" si="14"/>
        <v/>
      </c>
      <c r="CN359" s="88" t="str">
        <f t="shared" si="26"/>
        <v/>
      </c>
      <c r="CO359" s="88" t="str">
        <f t="shared" si="15"/>
        <v/>
      </c>
      <c r="CP359" s="88" t="str">
        <f t="shared" si="16"/>
        <v/>
      </c>
      <c r="CQ359" s="88" t="str">
        <f t="shared" si="17"/>
        <v/>
      </c>
      <c r="CR359" s="88" t="str">
        <f t="shared" si="18"/>
        <v/>
      </c>
      <c r="CS359" s="88" t="str">
        <f t="shared" si="19"/>
        <v/>
      </c>
      <c r="CT359" s="88" t="str">
        <f t="shared" si="20"/>
        <v/>
      </c>
      <c r="CU359" s="88" t="str">
        <f t="shared" si="21"/>
        <v/>
      </c>
      <c r="CV359" s="88" t="str">
        <f t="shared" si="22"/>
        <v/>
      </c>
      <c r="CW359" s="88" t="str">
        <f t="shared" si="23"/>
        <v/>
      </c>
      <c r="CX359" s="7"/>
      <c r="CY359" s="7"/>
      <c r="CZ359" s="7"/>
      <c r="DA359" s="8"/>
      <c r="DU359" s="93" t="str">
        <f t="shared" si="24"/>
        <v/>
      </c>
      <c r="DV359" s="93" t="str">
        <f>ABA!$A359</f>
        <v/>
      </c>
      <c r="DW359" s="82" t="str">
        <f t="shared" si="25"/>
        <v/>
      </c>
    </row>
    <row r="360" ht="15.75" customHeight="1">
      <c r="A360" s="85"/>
      <c r="B360" s="107"/>
      <c r="C360" s="98"/>
      <c r="D360" s="98"/>
      <c r="E360" s="99"/>
      <c r="F360" s="98"/>
      <c r="G360" s="98"/>
      <c r="H360" s="98"/>
      <c r="I360" s="99"/>
      <c r="J360" s="98"/>
      <c r="K360" s="98"/>
      <c r="L360" s="98"/>
      <c r="M360" s="99"/>
      <c r="N360" s="98"/>
      <c r="O360" s="98"/>
      <c r="P360" s="98"/>
      <c r="Q360" s="99"/>
      <c r="R360" s="98"/>
      <c r="S360" s="98"/>
      <c r="T360" s="98"/>
      <c r="U360" s="99"/>
      <c r="V360" s="98"/>
      <c r="W360" s="98"/>
      <c r="X360" s="98"/>
      <c r="Y360" s="100"/>
      <c r="Z360" s="98"/>
      <c r="AA360" s="98"/>
      <c r="AB360" s="98"/>
      <c r="AC360" s="99"/>
      <c r="AD360" s="98"/>
      <c r="AE360" s="98"/>
      <c r="AF360" s="98"/>
      <c r="AG360" s="99"/>
      <c r="AH360" s="98"/>
      <c r="AI360" s="98"/>
      <c r="AJ360" s="98"/>
      <c r="AK360" s="99"/>
      <c r="AL360" s="98"/>
      <c r="AM360" s="98"/>
      <c r="AN360" s="98"/>
      <c r="AO360" s="98"/>
      <c r="AP360" s="84" t="str">
        <f t="shared" si="2"/>
        <v/>
      </c>
      <c r="AQ360" s="9"/>
      <c r="AR360" s="9"/>
      <c r="AS360" s="8"/>
      <c r="AT360" s="9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8"/>
      <c r="BX360" s="9"/>
      <c r="BY360" s="9"/>
      <c r="BZ360" s="9"/>
      <c r="CA360" s="33"/>
      <c r="CB360" s="85" t="str">
        <f t="shared" si="3"/>
        <v/>
      </c>
      <c r="CC360" s="86" t="str">
        <f t="shared" si="4"/>
        <v/>
      </c>
      <c r="CD360" s="86" t="str">
        <f t="shared" si="5"/>
        <v/>
      </c>
      <c r="CE360" s="86" t="str">
        <f t="shared" si="6"/>
        <v/>
      </c>
      <c r="CF360" s="86" t="str">
        <f t="shared" si="7"/>
        <v/>
      </c>
      <c r="CG360" s="86" t="str">
        <f t="shared" si="8"/>
        <v/>
      </c>
      <c r="CH360" s="86" t="str">
        <f t="shared" si="9"/>
        <v/>
      </c>
      <c r="CI360" s="86" t="str">
        <f t="shared" si="10"/>
        <v/>
      </c>
      <c r="CJ360" s="86" t="str">
        <f t="shared" si="11"/>
        <v/>
      </c>
      <c r="CK360" s="86" t="str">
        <f t="shared" si="12"/>
        <v/>
      </c>
      <c r="CL360" s="86" t="str">
        <f t="shared" si="13"/>
        <v/>
      </c>
      <c r="CM360" s="87" t="str">
        <f t="shared" si="14"/>
        <v/>
      </c>
      <c r="CN360" s="88" t="str">
        <f t="shared" si="26"/>
        <v/>
      </c>
      <c r="CO360" s="88" t="str">
        <f t="shared" si="15"/>
        <v/>
      </c>
      <c r="CP360" s="88" t="str">
        <f t="shared" si="16"/>
        <v/>
      </c>
      <c r="CQ360" s="88" t="str">
        <f t="shared" si="17"/>
        <v/>
      </c>
      <c r="CR360" s="88" t="str">
        <f t="shared" si="18"/>
        <v/>
      </c>
      <c r="CS360" s="88" t="str">
        <f t="shared" si="19"/>
        <v/>
      </c>
      <c r="CT360" s="88" t="str">
        <f t="shared" si="20"/>
        <v/>
      </c>
      <c r="CU360" s="88" t="str">
        <f t="shared" si="21"/>
        <v/>
      </c>
      <c r="CV360" s="88" t="str">
        <f t="shared" si="22"/>
        <v/>
      </c>
      <c r="CW360" s="88" t="str">
        <f t="shared" si="23"/>
        <v/>
      </c>
      <c r="CX360" s="7"/>
      <c r="CY360" s="7"/>
      <c r="CZ360" s="7"/>
      <c r="DA360" s="8"/>
      <c r="DU360" s="104" t="str">
        <f t="shared" si="24"/>
        <v/>
      </c>
      <c r="DV360" s="104" t="str">
        <f>ABA!$A360</f>
        <v/>
      </c>
      <c r="DW360" s="98" t="str">
        <f t="shared" si="25"/>
        <v/>
      </c>
    </row>
    <row r="361" ht="15.75" customHeight="1">
      <c r="A361" s="78"/>
      <c r="B361" s="105"/>
      <c r="C361" s="82"/>
      <c r="D361" s="82"/>
      <c r="E361" s="83"/>
      <c r="F361" s="82"/>
      <c r="G361" s="82"/>
      <c r="H361" s="82"/>
      <c r="I361" s="83"/>
      <c r="J361" s="82"/>
      <c r="K361" s="82"/>
      <c r="L361" s="82"/>
      <c r="M361" s="83"/>
      <c r="N361" s="82"/>
      <c r="O361" s="82"/>
      <c r="P361" s="82"/>
      <c r="Q361" s="83"/>
      <c r="R361" s="82"/>
      <c r="S361" s="82"/>
      <c r="T361" s="82"/>
      <c r="U361" s="83"/>
      <c r="V361" s="82"/>
      <c r="W361" s="82"/>
      <c r="X361" s="82"/>
      <c r="Y361" s="83"/>
      <c r="Z361" s="82"/>
      <c r="AA361" s="82"/>
      <c r="AB361" s="82"/>
      <c r="AC361" s="83"/>
      <c r="AD361" s="82"/>
      <c r="AE361" s="82"/>
      <c r="AF361" s="82"/>
      <c r="AG361" s="83"/>
      <c r="AH361" s="82"/>
      <c r="AI361" s="82"/>
      <c r="AJ361" s="82"/>
      <c r="AK361" s="83"/>
      <c r="AL361" s="82"/>
      <c r="AM361" s="82"/>
      <c r="AN361" s="82"/>
      <c r="AO361" s="82"/>
      <c r="AP361" s="84" t="str">
        <f t="shared" si="2"/>
        <v/>
      </c>
      <c r="AQ361" s="9"/>
      <c r="AR361" s="9"/>
      <c r="AS361" s="8"/>
      <c r="AT361" s="9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8"/>
      <c r="BX361" s="9"/>
      <c r="BY361" s="9"/>
      <c r="BZ361" s="9"/>
      <c r="CA361" s="33"/>
      <c r="CB361" s="85" t="str">
        <f t="shared" si="3"/>
        <v/>
      </c>
      <c r="CC361" s="86" t="str">
        <f t="shared" si="4"/>
        <v/>
      </c>
      <c r="CD361" s="86" t="str">
        <f t="shared" si="5"/>
        <v/>
      </c>
      <c r="CE361" s="86" t="str">
        <f t="shared" si="6"/>
        <v/>
      </c>
      <c r="CF361" s="86" t="str">
        <f t="shared" si="7"/>
        <v/>
      </c>
      <c r="CG361" s="86" t="str">
        <f t="shared" si="8"/>
        <v/>
      </c>
      <c r="CH361" s="86" t="str">
        <f t="shared" si="9"/>
        <v/>
      </c>
      <c r="CI361" s="86" t="str">
        <f t="shared" si="10"/>
        <v/>
      </c>
      <c r="CJ361" s="86" t="str">
        <f t="shared" si="11"/>
        <v/>
      </c>
      <c r="CK361" s="86" t="str">
        <f t="shared" si="12"/>
        <v/>
      </c>
      <c r="CL361" s="86" t="str">
        <f t="shared" si="13"/>
        <v/>
      </c>
      <c r="CM361" s="87" t="str">
        <f t="shared" si="14"/>
        <v/>
      </c>
      <c r="CN361" s="88" t="str">
        <f t="shared" si="26"/>
        <v/>
      </c>
      <c r="CO361" s="88" t="str">
        <f t="shared" si="15"/>
        <v/>
      </c>
      <c r="CP361" s="88" t="str">
        <f t="shared" si="16"/>
        <v/>
      </c>
      <c r="CQ361" s="88" t="str">
        <f t="shared" si="17"/>
        <v/>
      </c>
      <c r="CR361" s="88" t="str">
        <f t="shared" si="18"/>
        <v/>
      </c>
      <c r="CS361" s="88" t="str">
        <f t="shared" si="19"/>
        <v/>
      </c>
      <c r="CT361" s="88" t="str">
        <f t="shared" si="20"/>
        <v/>
      </c>
      <c r="CU361" s="88" t="str">
        <f t="shared" si="21"/>
        <v/>
      </c>
      <c r="CV361" s="88" t="str">
        <f t="shared" si="22"/>
        <v/>
      </c>
      <c r="CW361" s="88" t="str">
        <f t="shared" si="23"/>
        <v/>
      </c>
      <c r="CX361" s="7"/>
      <c r="CY361" s="7"/>
      <c r="CZ361" s="7"/>
      <c r="DA361" s="8"/>
      <c r="DU361" s="93" t="str">
        <f t="shared" si="24"/>
        <v/>
      </c>
      <c r="DV361" s="93" t="str">
        <f>ABA!$A361</f>
        <v/>
      </c>
      <c r="DW361" s="82" t="str">
        <f t="shared" si="25"/>
        <v/>
      </c>
    </row>
    <row r="362" ht="15.75" customHeight="1">
      <c r="A362" s="85"/>
      <c r="B362" s="107"/>
      <c r="C362" s="98"/>
      <c r="D362" s="98"/>
      <c r="E362" s="99"/>
      <c r="F362" s="98"/>
      <c r="G362" s="98"/>
      <c r="H362" s="98"/>
      <c r="I362" s="99"/>
      <c r="J362" s="98"/>
      <c r="K362" s="98"/>
      <c r="L362" s="98"/>
      <c r="M362" s="99"/>
      <c r="N362" s="98"/>
      <c r="O362" s="98"/>
      <c r="P362" s="98"/>
      <c r="Q362" s="99"/>
      <c r="R362" s="98"/>
      <c r="S362" s="98"/>
      <c r="T362" s="98"/>
      <c r="U362" s="99"/>
      <c r="V362" s="98"/>
      <c r="W362" s="98"/>
      <c r="X362" s="98"/>
      <c r="Y362" s="100"/>
      <c r="Z362" s="98"/>
      <c r="AA362" s="98"/>
      <c r="AB362" s="98"/>
      <c r="AC362" s="99"/>
      <c r="AD362" s="98"/>
      <c r="AE362" s="98"/>
      <c r="AF362" s="98"/>
      <c r="AG362" s="99"/>
      <c r="AH362" s="98"/>
      <c r="AI362" s="98"/>
      <c r="AJ362" s="98"/>
      <c r="AK362" s="99"/>
      <c r="AL362" s="98"/>
      <c r="AM362" s="98"/>
      <c r="AN362" s="98"/>
      <c r="AO362" s="98"/>
      <c r="AP362" s="84" t="str">
        <f t="shared" si="2"/>
        <v/>
      </c>
      <c r="AQ362" s="9"/>
      <c r="AR362" s="9"/>
      <c r="AS362" s="8"/>
      <c r="AT362" s="9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8"/>
      <c r="BX362" s="9"/>
      <c r="BY362" s="9"/>
      <c r="BZ362" s="9"/>
      <c r="CA362" s="33"/>
      <c r="CB362" s="85" t="str">
        <f t="shared" si="3"/>
        <v/>
      </c>
      <c r="CC362" s="86" t="str">
        <f t="shared" si="4"/>
        <v/>
      </c>
      <c r="CD362" s="86" t="str">
        <f t="shared" si="5"/>
        <v/>
      </c>
      <c r="CE362" s="86" t="str">
        <f t="shared" si="6"/>
        <v/>
      </c>
      <c r="CF362" s="86" t="str">
        <f t="shared" si="7"/>
        <v/>
      </c>
      <c r="CG362" s="86" t="str">
        <f t="shared" si="8"/>
        <v/>
      </c>
      <c r="CH362" s="86" t="str">
        <f t="shared" si="9"/>
        <v/>
      </c>
      <c r="CI362" s="86" t="str">
        <f t="shared" si="10"/>
        <v/>
      </c>
      <c r="CJ362" s="86" t="str">
        <f t="shared" si="11"/>
        <v/>
      </c>
      <c r="CK362" s="86" t="str">
        <f t="shared" si="12"/>
        <v/>
      </c>
      <c r="CL362" s="86" t="str">
        <f t="shared" si="13"/>
        <v/>
      </c>
      <c r="CM362" s="87" t="str">
        <f t="shared" si="14"/>
        <v/>
      </c>
      <c r="CN362" s="88" t="str">
        <f t="shared" si="26"/>
        <v/>
      </c>
      <c r="CO362" s="88" t="str">
        <f t="shared" si="15"/>
        <v/>
      </c>
      <c r="CP362" s="88" t="str">
        <f t="shared" si="16"/>
        <v/>
      </c>
      <c r="CQ362" s="88" t="str">
        <f t="shared" si="17"/>
        <v/>
      </c>
      <c r="CR362" s="88" t="str">
        <f t="shared" si="18"/>
        <v/>
      </c>
      <c r="CS362" s="88" t="str">
        <f t="shared" si="19"/>
        <v/>
      </c>
      <c r="CT362" s="88" t="str">
        <f t="shared" si="20"/>
        <v/>
      </c>
      <c r="CU362" s="88" t="str">
        <f t="shared" si="21"/>
        <v/>
      </c>
      <c r="CV362" s="88" t="str">
        <f t="shared" si="22"/>
        <v/>
      </c>
      <c r="CW362" s="88" t="str">
        <f t="shared" si="23"/>
        <v/>
      </c>
      <c r="CX362" s="7"/>
      <c r="CY362" s="7"/>
      <c r="CZ362" s="7"/>
      <c r="DA362" s="8"/>
      <c r="DU362" s="104" t="str">
        <f t="shared" si="24"/>
        <v/>
      </c>
      <c r="DV362" s="104" t="str">
        <f>ABA!$A362</f>
        <v/>
      </c>
      <c r="DW362" s="98" t="str">
        <f t="shared" si="25"/>
        <v/>
      </c>
    </row>
    <row r="363" ht="15.75" customHeight="1">
      <c r="A363" s="78"/>
      <c r="B363" s="105"/>
      <c r="C363" s="82"/>
      <c r="D363" s="82"/>
      <c r="E363" s="83"/>
      <c r="F363" s="82"/>
      <c r="G363" s="82"/>
      <c r="H363" s="82"/>
      <c r="I363" s="83"/>
      <c r="J363" s="82"/>
      <c r="K363" s="82"/>
      <c r="L363" s="82"/>
      <c r="M363" s="83"/>
      <c r="N363" s="82"/>
      <c r="O363" s="82"/>
      <c r="P363" s="82"/>
      <c r="Q363" s="83"/>
      <c r="R363" s="82"/>
      <c r="S363" s="82"/>
      <c r="T363" s="82"/>
      <c r="U363" s="83"/>
      <c r="V363" s="82"/>
      <c r="W363" s="82"/>
      <c r="X363" s="82"/>
      <c r="Y363" s="83"/>
      <c r="Z363" s="82"/>
      <c r="AA363" s="82"/>
      <c r="AB363" s="82"/>
      <c r="AC363" s="83"/>
      <c r="AD363" s="82"/>
      <c r="AE363" s="82"/>
      <c r="AF363" s="82"/>
      <c r="AG363" s="83"/>
      <c r="AH363" s="82"/>
      <c r="AI363" s="82"/>
      <c r="AJ363" s="82"/>
      <c r="AK363" s="83"/>
      <c r="AL363" s="82"/>
      <c r="AM363" s="82"/>
      <c r="AN363" s="82"/>
      <c r="AO363" s="82"/>
      <c r="AP363" s="84" t="str">
        <f t="shared" si="2"/>
        <v/>
      </c>
      <c r="AQ363" s="9"/>
      <c r="AR363" s="9"/>
      <c r="AS363" s="8"/>
      <c r="AT363" s="9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8"/>
      <c r="BX363" s="9"/>
      <c r="BY363" s="9"/>
      <c r="BZ363" s="9"/>
      <c r="CA363" s="33"/>
      <c r="CB363" s="85" t="str">
        <f t="shared" si="3"/>
        <v/>
      </c>
      <c r="CC363" s="86" t="str">
        <f t="shared" si="4"/>
        <v/>
      </c>
      <c r="CD363" s="86" t="str">
        <f t="shared" si="5"/>
        <v/>
      </c>
      <c r="CE363" s="86" t="str">
        <f t="shared" si="6"/>
        <v/>
      </c>
      <c r="CF363" s="86" t="str">
        <f t="shared" si="7"/>
        <v/>
      </c>
      <c r="CG363" s="86" t="str">
        <f t="shared" si="8"/>
        <v/>
      </c>
      <c r="CH363" s="86" t="str">
        <f t="shared" si="9"/>
        <v/>
      </c>
      <c r="CI363" s="86" t="str">
        <f t="shared" si="10"/>
        <v/>
      </c>
      <c r="CJ363" s="86" t="str">
        <f t="shared" si="11"/>
        <v/>
      </c>
      <c r="CK363" s="86" t="str">
        <f t="shared" si="12"/>
        <v/>
      </c>
      <c r="CL363" s="86" t="str">
        <f t="shared" si="13"/>
        <v/>
      </c>
      <c r="CM363" s="87" t="str">
        <f t="shared" si="14"/>
        <v/>
      </c>
      <c r="CN363" s="88" t="str">
        <f t="shared" si="26"/>
        <v/>
      </c>
      <c r="CO363" s="88" t="str">
        <f t="shared" si="15"/>
        <v/>
      </c>
      <c r="CP363" s="88" t="str">
        <f t="shared" si="16"/>
        <v/>
      </c>
      <c r="CQ363" s="88" t="str">
        <f t="shared" si="17"/>
        <v/>
      </c>
      <c r="CR363" s="88" t="str">
        <f t="shared" si="18"/>
        <v/>
      </c>
      <c r="CS363" s="88" t="str">
        <f t="shared" si="19"/>
        <v/>
      </c>
      <c r="CT363" s="88" t="str">
        <f t="shared" si="20"/>
        <v/>
      </c>
      <c r="CU363" s="88" t="str">
        <f t="shared" si="21"/>
        <v/>
      </c>
      <c r="CV363" s="88" t="str">
        <f t="shared" si="22"/>
        <v/>
      </c>
      <c r="CW363" s="88" t="str">
        <f t="shared" si="23"/>
        <v/>
      </c>
      <c r="CX363" s="7"/>
      <c r="CY363" s="7"/>
      <c r="CZ363" s="7"/>
      <c r="DA363" s="8"/>
      <c r="DU363" s="93" t="str">
        <f t="shared" si="24"/>
        <v/>
      </c>
      <c r="DV363" s="93" t="str">
        <f>ABA!$A363</f>
        <v/>
      </c>
      <c r="DW363" s="82" t="str">
        <f t="shared" si="25"/>
        <v/>
      </c>
    </row>
    <row r="364" ht="15.75" customHeight="1">
      <c r="A364" s="85"/>
      <c r="B364" s="107"/>
      <c r="C364" s="98"/>
      <c r="D364" s="98"/>
      <c r="E364" s="99"/>
      <c r="F364" s="98"/>
      <c r="G364" s="98"/>
      <c r="H364" s="98"/>
      <c r="I364" s="99"/>
      <c r="J364" s="98"/>
      <c r="K364" s="98"/>
      <c r="L364" s="98"/>
      <c r="M364" s="99"/>
      <c r="N364" s="98"/>
      <c r="O364" s="98"/>
      <c r="P364" s="98"/>
      <c r="Q364" s="99"/>
      <c r="R364" s="98"/>
      <c r="S364" s="98"/>
      <c r="T364" s="98"/>
      <c r="U364" s="99"/>
      <c r="V364" s="98"/>
      <c r="W364" s="98"/>
      <c r="X364" s="98"/>
      <c r="Y364" s="100"/>
      <c r="Z364" s="98"/>
      <c r="AA364" s="98"/>
      <c r="AB364" s="98"/>
      <c r="AC364" s="99"/>
      <c r="AD364" s="98"/>
      <c r="AE364" s="98"/>
      <c r="AF364" s="98"/>
      <c r="AG364" s="99"/>
      <c r="AH364" s="98"/>
      <c r="AI364" s="98"/>
      <c r="AJ364" s="98"/>
      <c r="AK364" s="99"/>
      <c r="AL364" s="98"/>
      <c r="AM364" s="98"/>
      <c r="AN364" s="98"/>
      <c r="AO364" s="98"/>
      <c r="AP364" s="84" t="str">
        <f t="shared" si="2"/>
        <v/>
      </c>
      <c r="AQ364" s="9"/>
      <c r="AR364" s="9"/>
      <c r="AS364" s="8"/>
      <c r="AT364" s="9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8"/>
      <c r="BX364" s="9"/>
      <c r="BY364" s="9"/>
      <c r="BZ364" s="9"/>
      <c r="CA364" s="33"/>
      <c r="CB364" s="85" t="str">
        <f t="shared" si="3"/>
        <v/>
      </c>
      <c r="CC364" s="86" t="str">
        <f t="shared" si="4"/>
        <v/>
      </c>
      <c r="CD364" s="86" t="str">
        <f t="shared" si="5"/>
        <v/>
      </c>
      <c r="CE364" s="86" t="str">
        <f t="shared" si="6"/>
        <v/>
      </c>
      <c r="CF364" s="86" t="str">
        <f t="shared" si="7"/>
        <v/>
      </c>
      <c r="CG364" s="86" t="str">
        <f t="shared" si="8"/>
        <v/>
      </c>
      <c r="CH364" s="86" t="str">
        <f t="shared" si="9"/>
        <v/>
      </c>
      <c r="CI364" s="86" t="str">
        <f t="shared" si="10"/>
        <v/>
      </c>
      <c r="CJ364" s="86" t="str">
        <f t="shared" si="11"/>
        <v/>
      </c>
      <c r="CK364" s="86" t="str">
        <f t="shared" si="12"/>
        <v/>
      </c>
      <c r="CL364" s="86" t="str">
        <f t="shared" si="13"/>
        <v/>
      </c>
      <c r="CM364" s="87" t="str">
        <f t="shared" si="14"/>
        <v/>
      </c>
      <c r="CN364" s="88" t="str">
        <f t="shared" si="26"/>
        <v/>
      </c>
      <c r="CO364" s="88" t="str">
        <f t="shared" si="15"/>
        <v/>
      </c>
      <c r="CP364" s="88" t="str">
        <f t="shared" si="16"/>
        <v/>
      </c>
      <c r="CQ364" s="88" t="str">
        <f t="shared" si="17"/>
        <v/>
      </c>
      <c r="CR364" s="88" t="str">
        <f t="shared" si="18"/>
        <v/>
      </c>
      <c r="CS364" s="88" t="str">
        <f t="shared" si="19"/>
        <v/>
      </c>
      <c r="CT364" s="88" t="str">
        <f t="shared" si="20"/>
        <v/>
      </c>
      <c r="CU364" s="88" t="str">
        <f t="shared" si="21"/>
        <v/>
      </c>
      <c r="CV364" s="88" t="str">
        <f t="shared" si="22"/>
        <v/>
      </c>
      <c r="CW364" s="88" t="str">
        <f t="shared" si="23"/>
        <v/>
      </c>
      <c r="CX364" s="7"/>
      <c r="CY364" s="7"/>
      <c r="CZ364" s="7"/>
      <c r="DA364" s="8"/>
      <c r="DU364" s="93" t="str">
        <f t="shared" si="24"/>
        <v/>
      </c>
      <c r="DV364" s="104" t="str">
        <f>ABA!$A364</f>
        <v/>
      </c>
      <c r="DW364" s="98" t="str">
        <f t="shared" si="25"/>
        <v/>
      </c>
    </row>
    <row r="365" ht="15.75" customHeight="1">
      <c r="A365" s="78"/>
      <c r="B365" s="105"/>
      <c r="C365" s="82"/>
      <c r="D365" s="82"/>
      <c r="E365" s="83"/>
      <c r="F365" s="82"/>
      <c r="G365" s="82"/>
      <c r="H365" s="82"/>
      <c r="I365" s="83"/>
      <c r="J365" s="82"/>
      <c r="K365" s="82"/>
      <c r="L365" s="82"/>
      <c r="M365" s="83"/>
      <c r="N365" s="82"/>
      <c r="O365" s="82"/>
      <c r="P365" s="82"/>
      <c r="Q365" s="83"/>
      <c r="R365" s="82"/>
      <c r="S365" s="82"/>
      <c r="T365" s="82"/>
      <c r="U365" s="83"/>
      <c r="V365" s="82"/>
      <c r="W365" s="82"/>
      <c r="X365" s="82"/>
      <c r="Y365" s="83"/>
      <c r="Z365" s="82"/>
      <c r="AA365" s="82"/>
      <c r="AB365" s="82"/>
      <c r="AC365" s="83"/>
      <c r="AD365" s="82"/>
      <c r="AE365" s="82"/>
      <c r="AF365" s="82"/>
      <c r="AG365" s="83"/>
      <c r="AH365" s="82"/>
      <c r="AI365" s="82"/>
      <c r="AJ365" s="82"/>
      <c r="AK365" s="83"/>
      <c r="AL365" s="82"/>
      <c r="AM365" s="82"/>
      <c r="AN365" s="82"/>
      <c r="AO365" s="82"/>
      <c r="AP365" s="84" t="str">
        <f t="shared" si="2"/>
        <v/>
      </c>
      <c r="AQ365" s="9"/>
      <c r="AR365" s="9"/>
      <c r="AS365" s="8"/>
      <c r="AT365" s="9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8"/>
      <c r="BX365" s="9"/>
      <c r="BY365" s="9"/>
      <c r="BZ365" s="9"/>
      <c r="CA365" s="33"/>
      <c r="CB365" s="85" t="str">
        <f t="shared" si="3"/>
        <v/>
      </c>
      <c r="CC365" s="86" t="str">
        <f t="shared" si="4"/>
        <v/>
      </c>
      <c r="CD365" s="86" t="str">
        <f t="shared" si="5"/>
        <v/>
      </c>
      <c r="CE365" s="86" t="str">
        <f t="shared" si="6"/>
        <v/>
      </c>
      <c r="CF365" s="86" t="str">
        <f t="shared" si="7"/>
        <v/>
      </c>
      <c r="CG365" s="86" t="str">
        <f t="shared" si="8"/>
        <v/>
      </c>
      <c r="CH365" s="86" t="str">
        <f t="shared" si="9"/>
        <v/>
      </c>
      <c r="CI365" s="86" t="str">
        <f t="shared" si="10"/>
        <v/>
      </c>
      <c r="CJ365" s="86" t="str">
        <f t="shared" si="11"/>
        <v/>
      </c>
      <c r="CK365" s="86" t="str">
        <f t="shared" si="12"/>
        <v/>
      </c>
      <c r="CL365" s="86" t="str">
        <f t="shared" si="13"/>
        <v/>
      </c>
      <c r="CM365" s="87" t="str">
        <f t="shared" si="14"/>
        <v/>
      </c>
      <c r="CN365" s="88" t="str">
        <f t="shared" si="26"/>
        <v/>
      </c>
      <c r="CO365" s="88" t="str">
        <f t="shared" si="15"/>
        <v/>
      </c>
      <c r="CP365" s="88" t="str">
        <f t="shared" si="16"/>
        <v/>
      </c>
      <c r="CQ365" s="88" t="str">
        <f t="shared" si="17"/>
        <v/>
      </c>
      <c r="CR365" s="88" t="str">
        <f t="shared" si="18"/>
        <v/>
      </c>
      <c r="CS365" s="88" t="str">
        <f t="shared" si="19"/>
        <v/>
      </c>
      <c r="CT365" s="88" t="str">
        <f t="shared" si="20"/>
        <v/>
      </c>
      <c r="CU365" s="88" t="str">
        <f t="shared" si="21"/>
        <v/>
      </c>
      <c r="CV365" s="88" t="str">
        <f t="shared" si="22"/>
        <v/>
      </c>
      <c r="CW365" s="88" t="str">
        <f t="shared" si="23"/>
        <v/>
      </c>
      <c r="CX365" s="7"/>
      <c r="CY365" s="7"/>
      <c r="CZ365" s="7"/>
      <c r="DA365" s="8"/>
      <c r="DU365" s="104" t="str">
        <f t="shared" si="24"/>
        <v/>
      </c>
      <c r="DV365" s="93" t="str">
        <f>ABA!$A365</f>
        <v/>
      </c>
      <c r="DW365" s="82" t="str">
        <f t="shared" si="25"/>
        <v/>
      </c>
    </row>
    <row r="366" ht="15.75" customHeight="1">
      <c r="A366" s="85"/>
      <c r="B366" s="107"/>
      <c r="C366" s="98"/>
      <c r="D366" s="98"/>
      <c r="E366" s="99"/>
      <c r="F366" s="98"/>
      <c r="G366" s="98"/>
      <c r="H366" s="98"/>
      <c r="I366" s="99"/>
      <c r="J366" s="98"/>
      <c r="K366" s="98"/>
      <c r="L366" s="98"/>
      <c r="M366" s="99"/>
      <c r="N366" s="98"/>
      <c r="O366" s="98"/>
      <c r="P366" s="98"/>
      <c r="Q366" s="99"/>
      <c r="R366" s="98"/>
      <c r="S366" s="98"/>
      <c r="T366" s="98"/>
      <c r="U366" s="99"/>
      <c r="V366" s="98"/>
      <c r="W366" s="98"/>
      <c r="X366" s="98"/>
      <c r="Y366" s="100"/>
      <c r="Z366" s="98"/>
      <c r="AA366" s="98"/>
      <c r="AB366" s="98"/>
      <c r="AC366" s="99"/>
      <c r="AD366" s="98"/>
      <c r="AE366" s="98"/>
      <c r="AF366" s="98"/>
      <c r="AG366" s="99"/>
      <c r="AH366" s="98"/>
      <c r="AI366" s="98"/>
      <c r="AJ366" s="98"/>
      <c r="AK366" s="99"/>
      <c r="AL366" s="98"/>
      <c r="AM366" s="98"/>
      <c r="AN366" s="98"/>
      <c r="AO366" s="98"/>
      <c r="AP366" s="84" t="str">
        <f t="shared" si="2"/>
        <v/>
      </c>
      <c r="AQ366" s="9"/>
      <c r="AR366" s="9"/>
      <c r="AS366" s="8"/>
      <c r="AT366" s="9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8"/>
      <c r="BX366" s="9"/>
      <c r="BY366" s="9"/>
      <c r="BZ366" s="9"/>
      <c r="CA366" s="33"/>
      <c r="CB366" s="85" t="str">
        <f t="shared" si="3"/>
        <v/>
      </c>
      <c r="CC366" s="86" t="str">
        <f t="shared" si="4"/>
        <v/>
      </c>
      <c r="CD366" s="86" t="str">
        <f t="shared" si="5"/>
        <v/>
      </c>
      <c r="CE366" s="86" t="str">
        <f t="shared" si="6"/>
        <v/>
      </c>
      <c r="CF366" s="86" t="str">
        <f t="shared" si="7"/>
        <v/>
      </c>
      <c r="CG366" s="86" t="str">
        <f t="shared" si="8"/>
        <v/>
      </c>
      <c r="CH366" s="86" t="str">
        <f t="shared" si="9"/>
        <v/>
      </c>
      <c r="CI366" s="86" t="str">
        <f t="shared" si="10"/>
        <v/>
      </c>
      <c r="CJ366" s="86" t="str">
        <f t="shared" si="11"/>
        <v/>
      </c>
      <c r="CK366" s="86" t="str">
        <f t="shared" si="12"/>
        <v/>
      </c>
      <c r="CL366" s="86" t="str">
        <f t="shared" si="13"/>
        <v/>
      </c>
      <c r="CM366" s="87" t="str">
        <f t="shared" si="14"/>
        <v/>
      </c>
      <c r="CN366" s="88" t="str">
        <f t="shared" si="26"/>
        <v/>
      </c>
      <c r="CO366" s="88" t="str">
        <f t="shared" si="15"/>
        <v/>
      </c>
      <c r="CP366" s="88" t="str">
        <f t="shared" si="16"/>
        <v/>
      </c>
      <c r="CQ366" s="88" t="str">
        <f t="shared" si="17"/>
        <v/>
      </c>
      <c r="CR366" s="88" t="str">
        <f t="shared" si="18"/>
        <v/>
      </c>
      <c r="CS366" s="88" t="str">
        <f t="shared" si="19"/>
        <v/>
      </c>
      <c r="CT366" s="88" t="str">
        <f t="shared" si="20"/>
        <v/>
      </c>
      <c r="CU366" s="88" t="str">
        <f t="shared" si="21"/>
        <v/>
      </c>
      <c r="CV366" s="88" t="str">
        <f t="shared" si="22"/>
        <v/>
      </c>
      <c r="CW366" s="88" t="str">
        <f t="shared" si="23"/>
        <v/>
      </c>
      <c r="CX366" s="7"/>
      <c r="CY366" s="7"/>
      <c r="CZ366" s="7"/>
      <c r="DA366" s="8"/>
      <c r="DU366" s="93" t="str">
        <f t="shared" si="24"/>
        <v/>
      </c>
      <c r="DV366" s="104" t="str">
        <f>ABA!$A366</f>
        <v/>
      </c>
      <c r="DW366" s="98" t="str">
        <f t="shared" si="25"/>
        <v/>
      </c>
    </row>
    <row r="367" ht="15.75" customHeight="1">
      <c r="A367" s="78"/>
      <c r="B367" s="105"/>
      <c r="C367" s="82"/>
      <c r="D367" s="82"/>
      <c r="E367" s="83"/>
      <c r="F367" s="82"/>
      <c r="G367" s="82"/>
      <c r="H367" s="82"/>
      <c r="I367" s="83"/>
      <c r="J367" s="82"/>
      <c r="K367" s="82"/>
      <c r="L367" s="82"/>
      <c r="M367" s="83"/>
      <c r="N367" s="82"/>
      <c r="O367" s="82"/>
      <c r="P367" s="82"/>
      <c r="Q367" s="83"/>
      <c r="R367" s="82"/>
      <c r="S367" s="82"/>
      <c r="T367" s="82"/>
      <c r="U367" s="83"/>
      <c r="V367" s="82"/>
      <c r="W367" s="82"/>
      <c r="X367" s="82"/>
      <c r="Y367" s="83"/>
      <c r="Z367" s="82"/>
      <c r="AA367" s="82"/>
      <c r="AB367" s="82"/>
      <c r="AC367" s="83"/>
      <c r="AD367" s="82"/>
      <c r="AE367" s="82"/>
      <c r="AF367" s="82"/>
      <c r="AG367" s="83"/>
      <c r="AH367" s="82"/>
      <c r="AI367" s="82"/>
      <c r="AJ367" s="82"/>
      <c r="AK367" s="83"/>
      <c r="AL367" s="82"/>
      <c r="AM367" s="82"/>
      <c r="AN367" s="82"/>
      <c r="AO367" s="82"/>
      <c r="AP367" s="84" t="str">
        <f t="shared" si="2"/>
        <v/>
      </c>
      <c r="AQ367" s="9"/>
      <c r="AR367" s="9"/>
      <c r="AS367" s="8"/>
      <c r="AT367" s="9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8"/>
      <c r="BX367" s="9"/>
      <c r="BY367" s="9"/>
      <c r="BZ367" s="9"/>
      <c r="CA367" s="33"/>
      <c r="CB367" s="85" t="str">
        <f t="shared" si="3"/>
        <v/>
      </c>
      <c r="CC367" s="86" t="str">
        <f t="shared" si="4"/>
        <v/>
      </c>
      <c r="CD367" s="86" t="str">
        <f t="shared" si="5"/>
        <v/>
      </c>
      <c r="CE367" s="86" t="str">
        <f t="shared" si="6"/>
        <v/>
      </c>
      <c r="CF367" s="86" t="str">
        <f t="shared" si="7"/>
        <v/>
      </c>
      <c r="CG367" s="86" t="str">
        <f t="shared" si="8"/>
        <v/>
      </c>
      <c r="CH367" s="86" t="str">
        <f t="shared" si="9"/>
        <v/>
      </c>
      <c r="CI367" s="86" t="str">
        <f t="shared" si="10"/>
        <v/>
      </c>
      <c r="CJ367" s="86" t="str">
        <f t="shared" si="11"/>
        <v/>
      </c>
      <c r="CK367" s="86" t="str">
        <f t="shared" si="12"/>
        <v/>
      </c>
      <c r="CL367" s="86" t="str">
        <f t="shared" si="13"/>
        <v/>
      </c>
      <c r="CM367" s="87" t="str">
        <f t="shared" si="14"/>
        <v/>
      </c>
      <c r="CN367" s="88" t="str">
        <f t="shared" si="26"/>
        <v/>
      </c>
      <c r="CO367" s="88" t="str">
        <f t="shared" si="15"/>
        <v/>
      </c>
      <c r="CP367" s="88" t="str">
        <f t="shared" si="16"/>
        <v/>
      </c>
      <c r="CQ367" s="88" t="str">
        <f t="shared" si="17"/>
        <v/>
      </c>
      <c r="CR367" s="88" t="str">
        <f t="shared" si="18"/>
        <v/>
      </c>
      <c r="CS367" s="88" t="str">
        <f t="shared" si="19"/>
        <v/>
      </c>
      <c r="CT367" s="88" t="str">
        <f t="shared" si="20"/>
        <v/>
      </c>
      <c r="CU367" s="88" t="str">
        <f t="shared" si="21"/>
        <v/>
      </c>
      <c r="CV367" s="88" t="str">
        <f t="shared" si="22"/>
        <v/>
      </c>
      <c r="CW367" s="88" t="str">
        <f t="shared" si="23"/>
        <v/>
      </c>
      <c r="CX367" s="7"/>
      <c r="CY367" s="7"/>
      <c r="CZ367" s="7"/>
      <c r="DA367" s="8"/>
      <c r="DU367" s="104" t="str">
        <f t="shared" si="24"/>
        <v/>
      </c>
      <c r="DV367" s="93" t="str">
        <f>ABA!$A367</f>
        <v/>
      </c>
      <c r="DW367" s="82" t="str">
        <f t="shared" si="25"/>
        <v/>
      </c>
    </row>
    <row r="368" ht="15.75" customHeight="1">
      <c r="A368" s="85"/>
      <c r="B368" s="107"/>
      <c r="C368" s="98"/>
      <c r="D368" s="98"/>
      <c r="E368" s="99"/>
      <c r="F368" s="98"/>
      <c r="G368" s="98"/>
      <c r="H368" s="98"/>
      <c r="I368" s="99"/>
      <c r="J368" s="98"/>
      <c r="K368" s="98"/>
      <c r="L368" s="98"/>
      <c r="M368" s="99"/>
      <c r="N368" s="98"/>
      <c r="O368" s="98"/>
      <c r="P368" s="98"/>
      <c r="Q368" s="99"/>
      <c r="R368" s="98"/>
      <c r="S368" s="98"/>
      <c r="T368" s="98"/>
      <c r="U368" s="99"/>
      <c r="V368" s="98"/>
      <c r="W368" s="98"/>
      <c r="X368" s="98"/>
      <c r="Y368" s="100"/>
      <c r="Z368" s="98"/>
      <c r="AA368" s="98"/>
      <c r="AB368" s="98"/>
      <c r="AC368" s="99"/>
      <c r="AD368" s="98"/>
      <c r="AE368" s="98"/>
      <c r="AF368" s="98"/>
      <c r="AG368" s="99"/>
      <c r="AH368" s="98"/>
      <c r="AI368" s="98"/>
      <c r="AJ368" s="98"/>
      <c r="AK368" s="99"/>
      <c r="AL368" s="98"/>
      <c r="AM368" s="98"/>
      <c r="AN368" s="98"/>
      <c r="AO368" s="98"/>
      <c r="AP368" s="84" t="str">
        <f t="shared" si="2"/>
        <v/>
      </c>
      <c r="AQ368" s="9"/>
      <c r="AR368" s="9"/>
      <c r="AS368" s="8"/>
      <c r="AT368" s="9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8"/>
      <c r="BX368" s="9"/>
      <c r="BY368" s="9"/>
      <c r="BZ368" s="9"/>
      <c r="CA368" s="33"/>
      <c r="CB368" s="85" t="str">
        <f t="shared" si="3"/>
        <v/>
      </c>
      <c r="CC368" s="86" t="str">
        <f t="shared" si="4"/>
        <v/>
      </c>
      <c r="CD368" s="86" t="str">
        <f t="shared" si="5"/>
        <v/>
      </c>
      <c r="CE368" s="86" t="str">
        <f t="shared" si="6"/>
        <v/>
      </c>
      <c r="CF368" s="86" t="str">
        <f t="shared" si="7"/>
        <v/>
      </c>
      <c r="CG368" s="86" t="str">
        <f t="shared" si="8"/>
        <v/>
      </c>
      <c r="CH368" s="86" t="str">
        <f t="shared" si="9"/>
        <v/>
      </c>
      <c r="CI368" s="86" t="str">
        <f t="shared" si="10"/>
        <v/>
      </c>
      <c r="CJ368" s="86" t="str">
        <f t="shared" si="11"/>
        <v/>
      </c>
      <c r="CK368" s="86" t="str">
        <f t="shared" si="12"/>
        <v/>
      </c>
      <c r="CL368" s="86" t="str">
        <f t="shared" si="13"/>
        <v/>
      </c>
      <c r="CM368" s="87" t="str">
        <f t="shared" si="14"/>
        <v/>
      </c>
      <c r="CN368" s="88" t="str">
        <f t="shared" si="26"/>
        <v/>
      </c>
      <c r="CO368" s="88" t="str">
        <f t="shared" si="15"/>
        <v/>
      </c>
      <c r="CP368" s="88" t="str">
        <f t="shared" si="16"/>
        <v/>
      </c>
      <c r="CQ368" s="88" t="str">
        <f t="shared" si="17"/>
        <v/>
      </c>
      <c r="CR368" s="88" t="str">
        <f t="shared" si="18"/>
        <v/>
      </c>
      <c r="CS368" s="88" t="str">
        <f t="shared" si="19"/>
        <v/>
      </c>
      <c r="CT368" s="88" t="str">
        <f t="shared" si="20"/>
        <v/>
      </c>
      <c r="CU368" s="88" t="str">
        <f t="shared" si="21"/>
        <v/>
      </c>
      <c r="CV368" s="88" t="str">
        <f t="shared" si="22"/>
        <v/>
      </c>
      <c r="CW368" s="88" t="str">
        <f t="shared" si="23"/>
        <v/>
      </c>
      <c r="CX368" s="7"/>
      <c r="CY368" s="7"/>
      <c r="CZ368" s="7"/>
      <c r="DA368" s="8"/>
      <c r="DU368" s="93" t="str">
        <f t="shared" si="24"/>
        <v/>
      </c>
      <c r="DV368" s="104" t="str">
        <f>ABA!$A368</f>
        <v/>
      </c>
      <c r="DW368" s="98" t="str">
        <f t="shared" si="25"/>
        <v/>
      </c>
    </row>
    <row r="369" ht="15.75" customHeight="1">
      <c r="A369" s="78"/>
      <c r="B369" s="105"/>
      <c r="C369" s="82"/>
      <c r="D369" s="82"/>
      <c r="E369" s="83"/>
      <c r="F369" s="82"/>
      <c r="G369" s="82"/>
      <c r="H369" s="82"/>
      <c r="I369" s="83"/>
      <c r="J369" s="82"/>
      <c r="K369" s="82"/>
      <c r="L369" s="82"/>
      <c r="M369" s="83"/>
      <c r="N369" s="82"/>
      <c r="O369" s="82"/>
      <c r="P369" s="82"/>
      <c r="Q369" s="83"/>
      <c r="R369" s="82"/>
      <c r="S369" s="82"/>
      <c r="T369" s="82"/>
      <c r="U369" s="83"/>
      <c r="V369" s="82"/>
      <c r="W369" s="82"/>
      <c r="X369" s="82"/>
      <c r="Y369" s="83"/>
      <c r="Z369" s="82"/>
      <c r="AA369" s="82"/>
      <c r="AB369" s="82"/>
      <c r="AC369" s="83"/>
      <c r="AD369" s="82"/>
      <c r="AE369" s="82"/>
      <c r="AF369" s="82"/>
      <c r="AG369" s="83"/>
      <c r="AH369" s="82"/>
      <c r="AI369" s="82"/>
      <c r="AJ369" s="82"/>
      <c r="AK369" s="83"/>
      <c r="AL369" s="82"/>
      <c r="AM369" s="82"/>
      <c r="AN369" s="82"/>
      <c r="AO369" s="82"/>
      <c r="AP369" s="84" t="str">
        <f t="shared" si="2"/>
        <v/>
      </c>
      <c r="AQ369" s="9"/>
      <c r="AR369" s="9"/>
      <c r="AS369" s="8"/>
      <c r="AT369" s="9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8"/>
      <c r="BX369" s="9"/>
      <c r="BY369" s="9"/>
      <c r="BZ369" s="9"/>
      <c r="CA369" s="33"/>
      <c r="CB369" s="85" t="str">
        <f t="shared" si="3"/>
        <v/>
      </c>
      <c r="CC369" s="86" t="str">
        <f t="shared" si="4"/>
        <v/>
      </c>
      <c r="CD369" s="86" t="str">
        <f t="shared" si="5"/>
        <v/>
      </c>
      <c r="CE369" s="86" t="str">
        <f t="shared" si="6"/>
        <v/>
      </c>
      <c r="CF369" s="86" t="str">
        <f t="shared" si="7"/>
        <v/>
      </c>
      <c r="CG369" s="86" t="str">
        <f t="shared" si="8"/>
        <v/>
      </c>
      <c r="CH369" s="86" t="str">
        <f t="shared" si="9"/>
        <v/>
      </c>
      <c r="CI369" s="86" t="str">
        <f t="shared" si="10"/>
        <v/>
      </c>
      <c r="CJ369" s="86" t="str">
        <f t="shared" si="11"/>
        <v/>
      </c>
      <c r="CK369" s="86" t="str">
        <f t="shared" si="12"/>
        <v/>
      </c>
      <c r="CL369" s="86" t="str">
        <f t="shared" si="13"/>
        <v/>
      </c>
      <c r="CM369" s="87" t="str">
        <f t="shared" si="14"/>
        <v/>
      </c>
      <c r="CN369" s="88" t="str">
        <f t="shared" si="26"/>
        <v/>
      </c>
      <c r="CO369" s="88" t="str">
        <f t="shared" si="15"/>
        <v/>
      </c>
      <c r="CP369" s="88" t="str">
        <f t="shared" si="16"/>
        <v/>
      </c>
      <c r="CQ369" s="88" t="str">
        <f t="shared" si="17"/>
        <v/>
      </c>
      <c r="CR369" s="88" t="str">
        <f t="shared" si="18"/>
        <v/>
      </c>
      <c r="CS369" s="88" t="str">
        <f t="shared" si="19"/>
        <v/>
      </c>
      <c r="CT369" s="88" t="str">
        <f t="shared" si="20"/>
        <v/>
      </c>
      <c r="CU369" s="88" t="str">
        <f t="shared" si="21"/>
        <v/>
      </c>
      <c r="CV369" s="88" t="str">
        <f t="shared" si="22"/>
        <v/>
      </c>
      <c r="CW369" s="88" t="str">
        <f t="shared" si="23"/>
        <v/>
      </c>
      <c r="CX369" s="7"/>
      <c r="CY369" s="7"/>
      <c r="CZ369" s="7"/>
      <c r="DA369" s="8"/>
      <c r="DU369" s="104" t="str">
        <f t="shared" si="24"/>
        <v/>
      </c>
      <c r="DV369" s="93" t="str">
        <f>ABA!$A369</f>
        <v/>
      </c>
      <c r="DW369" s="82" t="str">
        <f t="shared" si="25"/>
        <v/>
      </c>
    </row>
    <row r="370" ht="15.75" customHeight="1">
      <c r="A370" s="85"/>
      <c r="B370" s="107"/>
      <c r="C370" s="98"/>
      <c r="D370" s="98"/>
      <c r="E370" s="99"/>
      <c r="F370" s="98"/>
      <c r="G370" s="98"/>
      <c r="H370" s="98"/>
      <c r="I370" s="99"/>
      <c r="J370" s="98"/>
      <c r="K370" s="98"/>
      <c r="L370" s="98"/>
      <c r="M370" s="99"/>
      <c r="N370" s="98"/>
      <c r="O370" s="98"/>
      <c r="P370" s="98"/>
      <c r="Q370" s="99"/>
      <c r="R370" s="98"/>
      <c r="S370" s="98"/>
      <c r="T370" s="98"/>
      <c r="U370" s="99"/>
      <c r="V370" s="98"/>
      <c r="W370" s="98"/>
      <c r="X370" s="98"/>
      <c r="Y370" s="100"/>
      <c r="Z370" s="98"/>
      <c r="AA370" s="98"/>
      <c r="AB370" s="98"/>
      <c r="AC370" s="99"/>
      <c r="AD370" s="98"/>
      <c r="AE370" s="98"/>
      <c r="AF370" s="98"/>
      <c r="AG370" s="99"/>
      <c r="AH370" s="98"/>
      <c r="AI370" s="98"/>
      <c r="AJ370" s="98"/>
      <c r="AK370" s="99"/>
      <c r="AL370" s="98"/>
      <c r="AM370" s="98"/>
      <c r="AN370" s="98"/>
      <c r="AO370" s="98"/>
      <c r="AP370" s="84" t="str">
        <f t="shared" si="2"/>
        <v/>
      </c>
      <c r="AQ370" s="9"/>
      <c r="AR370" s="9"/>
      <c r="AS370" s="8"/>
      <c r="AT370" s="9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8"/>
      <c r="BX370" s="9"/>
      <c r="BY370" s="9"/>
      <c r="BZ370" s="9"/>
      <c r="CA370" s="33"/>
      <c r="CB370" s="85" t="str">
        <f t="shared" si="3"/>
        <v/>
      </c>
      <c r="CC370" s="86" t="str">
        <f t="shared" si="4"/>
        <v/>
      </c>
      <c r="CD370" s="86" t="str">
        <f t="shared" si="5"/>
        <v/>
      </c>
      <c r="CE370" s="86" t="str">
        <f t="shared" si="6"/>
        <v/>
      </c>
      <c r="CF370" s="86" t="str">
        <f t="shared" si="7"/>
        <v/>
      </c>
      <c r="CG370" s="86" t="str">
        <f t="shared" si="8"/>
        <v/>
      </c>
      <c r="CH370" s="86" t="str">
        <f t="shared" si="9"/>
        <v/>
      </c>
      <c r="CI370" s="86" t="str">
        <f t="shared" si="10"/>
        <v/>
      </c>
      <c r="CJ370" s="86" t="str">
        <f t="shared" si="11"/>
        <v/>
      </c>
      <c r="CK370" s="86" t="str">
        <f t="shared" si="12"/>
        <v/>
      </c>
      <c r="CL370" s="86" t="str">
        <f t="shared" si="13"/>
        <v/>
      </c>
      <c r="CM370" s="87" t="str">
        <f t="shared" si="14"/>
        <v/>
      </c>
      <c r="CN370" s="88" t="str">
        <f t="shared" si="26"/>
        <v/>
      </c>
      <c r="CO370" s="88" t="str">
        <f t="shared" si="15"/>
        <v/>
      </c>
      <c r="CP370" s="88" t="str">
        <f t="shared" si="16"/>
        <v/>
      </c>
      <c r="CQ370" s="88" t="str">
        <f t="shared" si="17"/>
        <v/>
      </c>
      <c r="CR370" s="88" t="str">
        <f t="shared" si="18"/>
        <v/>
      </c>
      <c r="CS370" s="88" t="str">
        <f t="shared" si="19"/>
        <v/>
      </c>
      <c r="CT370" s="88" t="str">
        <f t="shared" si="20"/>
        <v/>
      </c>
      <c r="CU370" s="88" t="str">
        <f t="shared" si="21"/>
        <v/>
      </c>
      <c r="CV370" s="88" t="str">
        <f t="shared" si="22"/>
        <v/>
      </c>
      <c r="CW370" s="88" t="str">
        <f t="shared" si="23"/>
        <v/>
      </c>
      <c r="CX370" s="7"/>
      <c r="CY370" s="7"/>
      <c r="CZ370" s="7"/>
      <c r="DA370" s="8"/>
      <c r="DU370" s="93" t="str">
        <f t="shared" si="24"/>
        <v/>
      </c>
      <c r="DV370" s="104" t="str">
        <f>ABA!$A370</f>
        <v/>
      </c>
      <c r="DW370" s="98" t="str">
        <f t="shared" si="25"/>
        <v/>
      </c>
    </row>
    <row r="371" ht="15.75" customHeight="1">
      <c r="A371" s="78"/>
      <c r="B371" s="105"/>
      <c r="C371" s="82"/>
      <c r="D371" s="82"/>
      <c r="E371" s="83"/>
      <c r="F371" s="82"/>
      <c r="G371" s="82"/>
      <c r="H371" s="82"/>
      <c r="I371" s="83"/>
      <c r="J371" s="82"/>
      <c r="K371" s="82"/>
      <c r="L371" s="82"/>
      <c r="M371" s="83"/>
      <c r="N371" s="82"/>
      <c r="O371" s="82"/>
      <c r="P371" s="82"/>
      <c r="Q371" s="83"/>
      <c r="R371" s="82"/>
      <c r="S371" s="82"/>
      <c r="T371" s="82"/>
      <c r="U371" s="83"/>
      <c r="V371" s="82"/>
      <c r="W371" s="82"/>
      <c r="X371" s="82"/>
      <c r="Y371" s="83"/>
      <c r="Z371" s="82"/>
      <c r="AA371" s="82"/>
      <c r="AB371" s="82"/>
      <c r="AC371" s="83"/>
      <c r="AD371" s="82"/>
      <c r="AE371" s="82"/>
      <c r="AF371" s="82"/>
      <c r="AG371" s="83"/>
      <c r="AH371" s="82"/>
      <c r="AI371" s="82"/>
      <c r="AJ371" s="82"/>
      <c r="AK371" s="83"/>
      <c r="AL371" s="82"/>
      <c r="AM371" s="82"/>
      <c r="AN371" s="82"/>
      <c r="AO371" s="82"/>
      <c r="AP371" s="84" t="str">
        <f t="shared" si="2"/>
        <v/>
      </c>
      <c r="AQ371" s="9"/>
      <c r="AR371" s="9"/>
      <c r="AS371" s="8"/>
      <c r="AT371" s="9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8"/>
      <c r="BX371" s="9"/>
      <c r="BY371" s="9"/>
      <c r="BZ371" s="9"/>
      <c r="CA371" s="33"/>
      <c r="CB371" s="85" t="str">
        <f t="shared" si="3"/>
        <v/>
      </c>
      <c r="CC371" s="86" t="str">
        <f t="shared" si="4"/>
        <v/>
      </c>
      <c r="CD371" s="86" t="str">
        <f t="shared" si="5"/>
        <v/>
      </c>
      <c r="CE371" s="86" t="str">
        <f t="shared" si="6"/>
        <v/>
      </c>
      <c r="CF371" s="86" t="str">
        <f t="shared" si="7"/>
        <v/>
      </c>
      <c r="CG371" s="86" t="str">
        <f t="shared" si="8"/>
        <v/>
      </c>
      <c r="CH371" s="86" t="str">
        <f t="shared" si="9"/>
        <v/>
      </c>
      <c r="CI371" s="86" t="str">
        <f t="shared" si="10"/>
        <v/>
      </c>
      <c r="CJ371" s="86" t="str">
        <f t="shared" si="11"/>
        <v/>
      </c>
      <c r="CK371" s="86" t="str">
        <f t="shared" si="12"/>
        <v/>
      </c>
      <c r="CL371" s="86" t="str">
        <f t="shared" si="13"/>
        <v/>
      </c>
      <c r="CM371" s="87" t="str">
        <f t="shared" si="14"/>
        <v/>
      </c>
      <c r="CN371" s="88" t="str">
        <f t="shared" si="26"/>
        <v/>
      </c>
      <c r="CO371" s="88" t="str">
        <f t="shared" si="15"/>
        <v/>
      </c>
      <c r="CP371" s="88" t="str">
        <f t="shared" si="16"/>
        <v/>
      </c>
      <c r="CQ371" s="88" t="str">
        <f t="shared" si="17"/>
        <v/>
      </c>
      <c r="CR371" s="88" t="str">
        <f t="shared" si="18"/>
        <v/>
      </c>
      <c r="CS371" s="88" t="str">
        <f t="shared" si="19"/>
        <v/>
      </c>
      <c r="CT371" s="88" t="str">
        <f t="shared" si="20"/>
        <v/>
      </c>
      <c r="CU371" s="88" t="str">
        <f t="shared" si="21"/>
        <v/>
      </c>
      <c r="CV371" s="88" t="str">
        <f t="shared" si="22"/>
        <v/>
      </c>
      <c r="CW371" s="88" t="str">
        <f t="shared" si="23"/>
        <v/>
      </c>
      <c r="CX371" s="7"/>
      <c r="CY371" s="7"/>
      <c r="CZ371" s="7"/>
      <c r="DA371" s="8"/>
      <c r="DU371" s="104" t="str">
        <f t="shared" si="24"/>
        <v/>
      </c>
      <c r="DV371" s="93" t="str">
        <f>ABA!$A371</f>
        <v/>
      </c>
      <c r="DW371" s="82" t="str">
        <f t="shared" si="25"/>
        <v/>
      </c>
    </row>
    <row r="372" ht="15.75" customHeight="1">
      <c r="A372" s="85"/>
      <c r="B372" s="107"/>
      <c r="C372" s="98"/>
      <c r="D372" s="98"/>
      <c r="E372" s="99"/>
      <c r="F372" s="98"/>
      <c r="G372" s="98"/>
      <c r="H372" s="98"/>
      <c r="I372" s="99"/>
      <c r="J372" s="98"/>
      <c r="K372" s="98"/>
      <c r="L372" s="98"/>
      <c r="M372" s="99"/>
      <c r="N372" s="98"/>
      <c r="O372" s="98"/>
      <c r="P372" s="98"/>
      <c r="Q372" s="99"/>
      <c r="R372" s="98"/>
      <c r="S372" s="98"/>
      <c r="T372" s="98"/>
      <c r="U372" s="99"/>
      <c r="V372" s="98"/>
      <c r="W372" s="98"/>
      <c r="X372" s="98"/>
      <c r="Y372" s="100"/>
      <c r="Z372" s="98"/>
      <c r="AA372" s="98"/>
      <c r="AB372" s="98"/>
      <c r="AC372" s="99"/>
      <c r="AD372" s="98"/>
      <c r="AE372" s="98"/>
      <c r="AF372" s="98"/>
      <c r="AG372" s="99"/>
      <c r="AH372" s="98"/>
      <c r="AI372" s="98"/>
      <c r="AJ372" s="98"/>
      <c r="AK372" s="99"/>
      <c r="AL372" s="98"/>
      <c r="AM372" s="98"/>
      <c r="AN372" s="98"/>
      <c r="AO372" s="98"/>
      <c r="AP372" s="84" t="str">
        <f t="shared" si="2"/>
        <v/>
      </c>
      <c r="AQ372" s="9"/>
      <c r="AR372" s="9"/>
      <c r="AS372" s="8"/>
      <c r="AT372" s="9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8"/>
      <c r="BX372" s="9"/>
      <c r="BY372" s="9"/>
      <c r="BZ372" s="9"/>
      <c r="CA372" s="33"/>
      <c r="CB372" s="85" t="str">
        <f t="shared" si="3"/>
        <v/>
      </c>
      <c r="CC372" s="86" t="str">
        <f t="shared" si="4"/>
        <v/>
      </c>
      <c r="CD372" s="86" t="str">
        <f t="shared" si="5"/>
        <v/>
      </c>
      <c r="CE372" s="86" t="str">
        <f t="shared" si="6"/>
        <v/>
      </c>
      <c r="CF372" s="86" t="str">
        <f t="shared" si="7"/>
        <v/>
      </c>
      <c r="CG372" s="86" t="str">
        <f t="shared" si="8"/>
        <v/>
      </c>
      <c r="CH372" s="86" t="str">
        <f t="shared" si="9"/>
        <v/>
      </c>
      <c r="CI372" s="86" t="str">
        <f t="shared" si="10"/>
        <v/>
      </c>
      <c r="CJ372" s="86" t="str">
        <f t="shared" si="11"/>
        <v/>
      </c>
      <c r="CK372" s="86" t="str">
        <f t="shared" si="12"/>
        <v/>
      </c>
      <c r="CL372" s="86" t="str">
        <f t="shared" si="13"/>
        <v/>
      </c>
      <c r="CM372" s="87" t="str">
        <f t="shared" si="14"/>
        <v/>
      </c>
      <c r="CN372" s="88" t="str">
        <f t="shared" si="26"/>
        <v/>
      </c>
      <c r="CO372" s="88" t="str">
        <f t="shared" si="15"/>
        <v/>
      </c>
      <c r="CP372" s="88" t="str">
        <f t="shared" si="16"/>
        <v/>
      </c>
      <c r="CQ372" s="88" t="str">
        <f t="shared" si="17"/>
        <v/>
      </c>
      <c r="CR372" s="88" t="str">
        <f t="shared" si="18"/>
        <v/>
      </c>
      <c r="CS372" s="88" t="str">
        <f t="shared" si="19"/>
        <v/>
      </c>
      <c r="CT372" s="88" t="str">
        <f t="shared" si="20"/>
        <v/>
      </c>
      <c r="CU372" s="88" t="str">
        <f t="shared" si="21"/>
        <v/>
      </c>
      <c r="CV372" s="88" t="str">
        <f t="shared" si="22"/>
        <v/>
      </c>
      <c r="CW372" s="88" t="str">
        <f t="shared" si="23"/>
        <v/>
      </c>
      <c r="CX372" s="7"/>
      <c r="CY372" s="7"/>
      <c r="CZ372" s="7"/>
      <c r="DA372" s="8"/>
      <c r="DU372" s="93" t="str">
        <f t="shared" si="24"/>
        <v/>
      </c>
      <c r="DV372" s="104" t="str">
        <f>ABA!$A372</f>
        <v/>
      </c>
      <c r="DW372" s="98" t="str">
        <f t="shared" si="25"/>
        <v/>
      </c>
    </row>
    <row r="373" ht="15.75" customHeight="1">
      <c r="A373" s="78"/>
      <c r="B373" s="105"/>
      <c r="C373" s="82"/>
      <c r="D373" s="82"/>
      <c r="E373" s="83"/>
      <c r="F373" s="82"/>
      <c r="G373" s="82"/>
      <c r="H373" s="82"/>
      <c r="I373" s="83"/>
      <c r="J373" s="82"/>
      <c r="K373" s="82"/>
      <c r="L373" s="82"/>
      <c r="M373" s="83"/>
      <c r="N373" s="82"/>
      <c r="O373" s="82"/>
      <c r="P373" s="82"/>
      <c r="Q373" s="83"/>
      <c r="R373" s="82"/>
      <c r="S373" s="82"/>
      <c r="T373" s="82"/>
      <c r="U373" s="83"/>
      <c r="V373" s="82"/>
      <c r="W373" s="82"/>
      <c r="X373" s="82"/>
      <c r="Y373" s="83"/>
      <c r="Z373" s="82"/>
      <c r="AA373" s="82"/>
      <c r="AB373" s="82"/>
      <c r="AC373" s="83"/>
      <c r="AD373" s="82"/>
      <c r="AE373" s="82"/>
      <c r="AF373" s="82"/>
      <c r="AG373" s="83"/>
      <c r="AH373" s="82"/>
      <c r="AI373" s="82"/>
      <c r="AJ373" s="82"/>
      <c r="AK373" s="83"/>
      <c r="AL373" s="82"/>
      <c r="AM373" s="82"/>
      <c r="AN373" s="82"/>
      <c r="AO373" s="82"/>
      <c r="AP373" s="84" t="str">
        <f t="shared" si="2"/>
        <v/>
      </c>
      <c r="AQ373" s="9"/>
      <c r="AR373" s="9"/>
      <c r="AS373" s="8"/>
      <c r="AT373" s="9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8"/>
      <c r="BX373" s="9"/>
      <c r="BY373" s="9"/>
      <c r="BZ373" s="9"/>
      <c r="CA373" s="33"/>
      <c r="CB373" s="85" t="str">
        <f t="shared" si="3"/>
        <v/>
      </c>
      <c r="CC373" s="86" t="str">
        <f t="shared" si="4"/>
        <v/>
      </c>
      <c r="CD373" s="86" t="str">
        <f t="shared" si="5"/>
        <v/>
      </c>
      <c r="CE373" s="86" t="str">
        <f t="shared" si="6"/>
        <v/>
      </c>
      <c r="CF373" s="86" t="str">
        <f t="shared" si="7"/>
        <v/>
      </c>
      <c r="CG373" s="86" t="str">
        <f t="shared" si="8"/>
        <v/>
      </c>
      <c r="CH373" s="86" t="str">
        <f t="shared" si="9"/>
        <v/>
      </c>
      <c r="CI373" s="86" t="str">
        <f t="shared" si="10"/>
        <v/>
      </c>
      <c r="CJ373" s="86" t="str">
        <f t="shared" si="11"/>
        <v/>
      </c>
      <c r="CK373" s="86" t="str">
        <f t="shared" si="12"/>
        <v/>
      </c>
      <c r="CL373" s="86" t="str">
        <f t="shared" si="13"/>
        <v/>
      </c>
      <c r="CM373" s="87" t="str">
        <f t="shared" si="14"/>
        <v/>
      </c>
      <c r="CN373" s="88" t="str">
        <f t="shared" si="26"/>
        <v/>
      </c>
      <c r="CO373" s="88" t="str">
        <f t="shared" si="15"/>
        <v/>
      </c>
      <c r="CP373" s="88" t="str">
        <f t="shared" si="16"/>
        <v/>
      </c>
      <c r="CQ373" s="88" t="str">
        <f t="shared" si="17"/>
        <v/>
      </c>
      <c r="CR373" s="88" t="str">
        <f t="shared" si="18"/>
        <v/>
      </c>
      <c r="CS373" s="88" t="str">
        <f t="shared" si="19"/>
        <v/>
      </c>
      <c r="CT373" s="88" t="str">
        <f t="shared" si="20"/>
        <v/>
      </c>
      <c r="CU373" s="88" t="str">
        <f t="shared" si="21"/>
        <v/>
      </c>
      <c r="CV373" s="88" t="str">
        <f t="shared" si="22"/>
        <v/>
      </c>
      <c r="CW373" s="88" t="str">
        <f t="shared" si="23"/>
        <v/>
      </c>
      <c r="CX373" s="7"/>
      <c r="CY373" s="7"/>
      <c r="CZ373" s="7"/>
      <c r="DA373" s="8"/>
      <c r="DU373" s="104" t="str">
        <f t="shared" si="24"/>
        <v/>
      </c>
      <c r="DV373" s="93" t="str">
        <f>ABA!$A373</f>
        <v/>
      </c>
      <c r="DW373" s="82" t="str">
        <f t="shared" si="25"/>
        <v/>
      </c>
    </row>
    <row r="374" ht="15.75" customHeight="1">
      <c r="A374" s="85"/>
      <c r="B374" s="107"/>
      <c r="C374" s="98"/>
      <c r="D374" s="98"/>
      <c r="E374" s="99"/>
      <c r="F374" s="98"/>
      <c r="G374" s="98"/>
      <c r="H374" s="98"/>
      <c r="I374" s="99"/>
      <c r="J374" s="98"/>
      <c r="K374" s="98"/>
      <c r="L374" s="98"/>
      <c r="M374" s="99"/>
      <c r="N374" s="98"/>
      <c r="O374" s="98"/>
      <c r="P374" s="98"/>
      <c r="Q374" s="99"/>
      <c r="R374" s="98"/>
      <c r="S374" s="98"/>
      <c r="T374" s="98"/>
      <c r="U374" s="99"/>
      <c r="V374" s="98"/>
      <c r="W374" s="98"/>
      <c r="X374" s="98"/>
      <c r="Y374" s="100"/>
      <c r="Z374" s="98"/>
      <c r="AA374" s="98"/>
      <c r="AB374" s="98"/>
      <c r="AC374" s="99"/>
      <c r="AD374" s="98"/>
      <c r="AE374" s="98"/>
      <c r="AF374" s="98"/>
      <c r="AG374" s="99"/>
      <c r="AH374" s="98"/>
      <c r="AI374" s="98"/>
      <c r="AJ374" s="98"/>
      <c r="AK374" s="99"/>
      <c r="AL374" s="98"/>
      <c r="AM374" s="98"/>
      <c r="AN374" s="98"/>
      <c r="AO374" s="98"/>
      <c r="AP374" s="84" t="str">
        <f t="shared" si="2"/>
        <v/>
      </c>
      <c r="AQ374" s="9"/>
      <c r="AR374" s="9"/>
      <c r="AS374" s="8"/>
      <c r="AT374" s="9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8"/>
      <c r="BX374" s="9"/>
      <c r="BY374" s="9"/>
      <c r="BZ374" s="9"/>
      <c r="CA374" s="33"/>
      <c r="CB374" s="85" t="str">
        <f t="shared" si="3"/>
        <v/>
      </c>
      <c r="CC374" s="86" t="str">
        <f t="shared" si="4"/>
        <v/>
      </c>
      <c r="CD374" s="86" t="str">
        <f t="shared" si="5"/>
        <v/>
      </c>
      <c r="CE374" s="86" t="str">
        <f t="shared" si="6"/>
        <v/>
      </c>
      <c r="CF374" s="86" t="str">
        <f t="shared" si="7"/>
        <v/>
      </c>
      <c r="CG374" s="86" t="str">
        <f t="shared" si="8"/>
        <v/>
      </c>
      <c r="CH374" s="86" t="str">
        <f t="shared" si="9"/>
        <v/>
      </c>
      <c r="CI374" s="86" t="str">
        <f t="shared" si="10"/>
        <v/>
      </c>
      <c r="CJ374" s="86" t="str">
        <f t="shared" si="11"/>
        <v/>
      </c>
      <c r="CK374" s="86" t="str">
        <f t="shared" si="12"/>
        <v/>
      </c>
      <c r="CL374" s="86" t="str">
        <f t="shared" si="13"/>
        <v/>
      </c>
      <c r="CM374" s="87" t="str">
        <f t="shared" si="14"/>
        <v/>
      </c>
      <c r="CN374" s="88" t="str">
        <f t="shared" si="26"/>
        <v/>
      </c>
      <c r="CO374" s="88" t="str">
        <f t="shared" si="15"/>
        <v/>
      </c>
      <c r="CP374" s="88" t="str">
        <f t="shared" si="16"/>
        <v/>
      </c>
      <c r="CQ374" s="88" t="str">
        <f t="shared" si="17"/>
        <v/>
      </c>
      <c r="CR374" s="88" t="str">
        <f t="shared" si="18"/>
        <v/>
      </c>
      <c r="CS374" s="88" t="str">
        <f t="shared" si="19"/>
        <v/>
      </c>
      <c r="CT374" s="88" t="str">
        <f t="shared" si="20"/>
        <v/>
      </c>
      <c r="CU374" s="88" t="str">
        <f t="shared" si="21"/>
        <v/>
      </c>
      <c r="CV374" s="88" t="str">
        <f t="shared" si="22"/>
        <v/>
      </c>
      <c r="CW374" s="88" t="str">
        <f t="shared" si="23"/>
        <v/>
      </c>
      <c r="CX374" s="7"/>
      <c r="CY374" s="7"/>
      <c r="CZ374" s="7"/>
      <c r="DA374" s="8"/>
      <c r="DU374" s="93" t="str">
        <f t="shared" si="24"/>
        <v/>
      </c>
      <c r="DV374" s="104" t="str">
        <f>ABA!$A374</f>
        <v/>
      </c>
      <c r="DW374" s="98" t="str">
        <f t="shared" si="25"/>
        <v/>
      </c>
    </row>
    <row r="375" ht="15.75" customHeight="1">
      <c r="A375" s="78"/>
      <c r="B375" s="105"/>
      <c r="C375" s="82"/>
      <c r="D375" s="82"/>
      <c r="E375" s="83"/>
      <c r="F375" s="82"/>
      <c r="G375" s="82"/>
      <c r="H375" s="82"/>
      <c r="I375" s="83"/>
      <c r="J375" s="82"/>
      <c r="K375" s="82"/>
      <c r="L375" s="82"/>
      <c r="M375" s="83"/>
      <c r="N375" s="82"/>
      <c r="O375" s="82"/>
      <c r="P375" s="82"/>
      <c r="Q375" s="83"/>
      <c r="R375" s="82"/>
      <c r="S375" s="82"/>
      <c r="T375" s="82"/>
      <c r="U375" s="83"/>
      <c r="V375" s="82"/>
      <c r="W375" s="82"/>
      <c r="X375" s="82"/>
      <c r="Y375" s="83"/>
      <c r="Z375" s="82"/>
      <c r="AA375" s="82"/>
      <c r="AB375" s="82"/>
      <c r="AC375" s="83"/>
      <c r="AD375" s="82"/>
      <c r="AE375" s="82"/>
      <c r="AF375" s="82"/>
      <c r="AG375" s="83"/>
      <c r="AH375" s="82"/>
      <c r="AI375" s="82"/>
      <c r="AJ375" s="82"/>
      <c r="AK375" s="83"/>
      <c r="AL375" s="82"/>
      <c r="AM375" s="82"/>
      <c r="AN375" s="82"/>
      <c r="AO375" s="82"/>
      <c r="AP375" s="84" t="str">
        <f t="shared" si="2"/>
        <v/>
      </c>
      <c r="AQ375" s="9"/>
      <c r="AR375" s="9"/>
      <c r="AS375" s="8"/>
      <c r="AT375" s="9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8"/>
      <c r="BX375" s="9"/>
      <c r="BY375" s="9"/>
      <c r="BZ375" s="9"/>
      <c r="CA375" s="33"/>
      <c r="CB375" s="85" t="str">
        <f t="shared" si="3"/>
        <v/>
      </c>
      <c r="CC375" s="86" t="str">
        <f t="shared" si="4"/>
        <v/>
      </c>
      <c r="CD375" s="86" t="str">
        <f t="shared" si="5"/>
        <v/>
      </c>
      <c r="CE375" s="86" t="str">
        <f t="shared" si="6"/>
        <v/>
      </c>
      <c r="CF375" s="86" t="str">
        <f t="shared" si="7"/>
        <v/>
      </c>
      <c r="CG375" s="86" t="str">
        <f t="shared" si="8"/>
        <v/>
      </c>
      <c r="CH375" s="86" t="str">
        <f t="shared" si="9"/>
        <v/>
      </c>
      <c r="CI375" s="86" t="str">
        <f t="shared" si="10"/>
        <v/>
      </c>
      <c r="CJ375" s="86" t="str">
        <f t="shared" si="11"/>
        <v/>
      </c>
      <c r="CK375" s="86" t="str">
        <f t="shared" si="12"/>
        <v/>
      </c>
      <c r="CL375" s="86" t="str">
        <f t="shared" si="13"/>
        <v/>
      </c>
      <c r="CM375" s="87" t="str">
        <f t="shared" si="14"/>
        <v/>
      </c>
      <c r="CN375" s="88" t="str">
        <f t="shared" si="26"/>
        <v/>
      </c>
      <c r="CO375" s="88" t="str">
        <f t="shared" si="15"/>
        <v/>
      </c>
      <c r="CP375" s="88" t="str">
        <f t="shared" si="16"/>
        <v/>
      </c>
      <c r="CQ375" s="88" t="str">
        <f t="shared" si="17"/>
        <v/>
      </c>
      <c r="CR375" s="88" t="str">
        <f t="shared" si="18"/>
        <v/>
      </c>
      <c r="CS375" s="88" t="str">
        <f t="shared" si="19"/>
        <v/>
      </c>
      <c r="CT375" s="88" t="str">
        <f t="shared" si="20"/>
        <v/>
      </c>
      <c r="CU375" s="88" t="str">
        <f t="shared" si="21"/>
        <v/>
      </c>
      <c r="CV375" s="88" t="str">
        <f t="shared" si="22"/>
        <v/>
      </c>
      <c r="CW375" s="88" t="str">
        <f t="shared" si="23"/>
        <v/>
      </c>
      <c r="CX375" s="7"/>
      <c r="CY375" s="7"/>
      <c r="CZ375" s="7"/>
      <c r="DA375" s="8"/>
      <c r="DU375" s="104" t="str">
        <f t="shared" si="24"/>
        <v/>
      </c>
      <c r="DV375" s="93" t="str">
        <f>ABA!$A375</f>
        <v/>
      </c>
      <c r="DW375" s="82" t="str">
        <f t="shared" si="25"/>
        <v/>
      </c>
    </row>
    <row r="376" ht="15.75" customHeight="1">
      <c r="A376" s="85"/>
      <c r="B376" s="107"/>
      <c r="C376" s="98"/>
      <c r="D376" s="98"/>
      <c r="E376" s="99"/>
      <c r="F376" s="98"/>
      <c r="G376" s="98"/>
      <c r="H376" s="98"/>
      <c r="I376" s="99"/>
      <c r="J376" s="98"/>
      <c r="K376" s="98"/>
      <c r="L376" s="98"/>
      <c r="M376" s="99"/>
      <c r="N376" s="98"/>
      <c r="O376" s="98"/>
      <c r="P376" s="98"/>
      <c r="Q376" s="99"/>
      <c r="R376" s="98"/>
      <c r="S376" s="98"/>
      <c r="T376" s="98"/>
      <c r="U376" s="99"/>
      <c r="V376" s="98"/>
      <c r="W376" s="98"/>
      <c r="X376" s="98"/>
      <c r="Y376" s="100"/>
      <c r="Z376" s="98"/>
      <c r="AA376" s="98"/>
      <c r="AB376" s="98"/>
      <c r="AC376" s="99"/>
      <c r="AD376" s="98"/>
      <c r="AE376" s="98"/>
      <c r="AF376" s="98"/>
      <c r="AG376" s="99"/>
      <c r="AH376" s="98"/>
      <c r="AI376" s="98"/>
      <c r="AJ376" s="98"/>
      <c r="AK376" s="99"/>
      <c r="AL376" s="98"/>
      <c r="AM376" s="98"/>
      <c r="AN376" s="98"/>
      <c r="AO376" s="98"/>
      <c r="AP376" s="84" t="str">
        <f t="shared" si="2"/>
        <v/>
      </c>
      <c r="AQ376" s="9"/>
      <c r="AR376" s="9"/>
      <c r="AS376" s="8"/>
      <c r="AT376" s="9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8"/>
      <c r="BX376" s="9"/>
      <c r="BY376" s="9"/>
      <c r="BZ376" s="9"/>
      <c r="CA376" s="33"/>
      <c r="CB376" s="85" t="str">
        <f t="shared" si="3"/>
        <v/>
      </c>
      <c r="CC376" s="86" t="str">
        <f t="shared" si="4"/>
        <v/>
      </c>
      <c r="CD376" s="86" t="str">
        <f t="shared" si="5"/>
        <v/>
      </c>
      <c r="CE376" s="86" t="str">
        <f t="shared" si="6"/>
        <v/>
      </c>
      <c r="CF376" s="86" t="str">
        <f t="shared" si="7"/>
        <v/>
      </c>
      <c r="CG376" s="86" t="str">
        <f t="shared" si="8"/>
        <v/>
      </c>
      <c r="CH376" s="86" t="str">
        <f t="shared" si="9"/>
        <v/>
      </c>
      <c r="CI376" s="86" t="str">
        <f t="shared" si="10"/>
        <v/>
      </c>
      <c r="CJ376" s="86" t="str">
        <f t="shared" si="11"/>
        <v/>
      </c>
      <c r="CK376" s="86" t="str">
        <f t="shared" si="12"/>
        <v/>
      </c>
      <c r="CL376" s="86" t="str">
        <f t="shared" si="13"/>
        <v/>
      </c>
      <c r="CM376" s="87" t="str">
        <f t="shared" si="14"/>
        <v/>
      </c>
      <c r="CN376" s="88" t="str">
        <f t="shared" si="26"/>
        <v/>
      </c>
      <c r="CO376" s="88" t="str">
        <f t="shared" si="15"/>
        <v/>
      </c>
      <c r="CP376" s="88" t="str">
        <f t="shared" si="16"/>
        <v/>
      </c>
      <c r="CQ376" s="88" t="str">
        <f t="shared" si="17"/>
        <v/>
      </c>
      <c r="CR376" s="88" t="str">
        <f t="shared" si="18"/>
        <v/>
      </c>
      <c r="CS376" s="88" t="str">
        <f t="shared" si="19"/>
        <v/>
      </c>
      <c r="CT376" s="88" t="str">
        <f t="shared" si="20"/>
        <v/>
      </c>
      <c r="CU376" s="88" t="str">
        <f t="shared" si="21"/>
        <v/>
      </c>
      <c r="CV376" s="88" t="str">
        <f t="shared" si="22"/>
        <v/>
      </c>
      <c r="CW376" s="88" t="str">
        <f t="shared" si="23"/>
        <v/>
      </c>
      <c r="CX376" s="7"/>
      <c r="CY376" s="7"/>
      <c r="CZ376" s="7"/>
      <c r="DA376" s="8"/>
      <c r="DU376" s="93" t="str">
        <f t="shared" si="24"/>
        <v/>
      </c>
      <c r="DV376" s="104" t="str">
        <f>ABA!$A376</f>
        <v/>
      </c>
      <c r="DW376" s="98" t="str">
        <f t="shared" si="25"/>
        <v/>
      </c>
    </row>
    <row r="377" ht="15.75" customHeight="1">
      <c r="A377" s="78"/>
      <c r="B377" s="105"/>
      <c r="C377" s="82"/>
      <c r="D377" s="82"/>
      <c r="E377" s="83"/>
      <c r="F377" s="82"/>
      <c r="G377" s="82"/>
      <c r="H377" s="82"/>
      <c r="I377" s="83"/>
      <c r="J377" s="82"/>
      <c r="K377" s="82"/>
      <c r="L377" s="82"/>
      <c r="M377" s="83"/>
      <c r="N377" s="82"/>
      <c r="O377" s="82"/>
      <c r="P377" s="82"/>
      <c r="Q377" s="83"/>
      <c r="R377" s="82"/>
      <c r="S377" s="82"/>
      <c r="T377" s="82"/>
      <c r="U377" s="83"/>
      <c r="V377" s="82"/>
      <c r="W377" s="82"/>
      <c r="X377" s="82"/>
      <c r="Y377" s="83"/>
      <c r="Z377" s="82"/>
      <c r="AA377" s="82"/>
      <c r="AB377" s="82"/>
      <c r="AC377" s="83"/>
      <c r="AD377" s="82"/>
      <c r="AE377" s="82"/>
      <c r="AF377" s="82"/>
      <c r="AG377" s="83"/>
      <c r="AH377" s="82"/>
      <c r="AI377" s="82"/>
      <c r="AJ377" s="82"/>
      <c r="AK377" s="83"/>
      <c r="AL377" s="82"/>
      <c r="AM377" s="82"/>
      <c r="AN377" s="82"/>
      <c r="AO377" s="82"/>
      <c r="AP377" s="84" t="str">
        <f t="shared" si="2"/>
        <v/>
      </c>
      <c r="AQ377" s="9"/>
      <c r="AR377" s="9"/>
      <c r="AS377" s="8"/>
      <c r="AT377" s="9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8"/>
      <c r="BX377" s="9"/>
      <c r="BY377" s="9"/>
      <c r="BZ377" s="9"/>
      <c r="CA377" s="33"/>
      <c r="CB377" s="85" t="str">
        <f t="shared" si="3"/>
        <v/>
      </c>
      <c r="CC377" s="86" t="str">
        <f t="shared" si="4"/>
        <v/>
      </c>
      <c r="CD377" s="86" t="str">
        <f t="shared" si="5"/>
        <v/>
      </c>
      <c r="CE377" s="86" t="str">
        <f t="shared" si="6"/>
        <v/>
      </c>
      <c r="CF377" s="86" t="str">
        <f t="shared" si="7"/>
        <v/>
      </c>
      <c r="CG377" s="86" t="str">
        <f t="shared" si="8"/>
        <v/>
      </c>
      <c r="CH377" s="86" t="str">
        <f t="shared" si="9"/>
        <v/>
      </c>
      <c r="CI377" s="86" t="str">
        <f t="shared" si="10"/>
        <v/>
      </c>
      <c r="CJ377" s="86" t="str">
        <f t="shared" si="11"/>
        <v/>
      </c>
      <c r="CK377" s="86" t="str">
        <f t="shared" si="12"/>
        <v/>
      </c>
      <c r="CL377" s="86" t="str">
        <f t="shared" si="13"/>
        <v/>
      </c>
      <c r="CM377" s="87" t="str">
        <f t="shared" si="14"/>
        <v/>
      </c>
      <c r="CN377" s="88" t="str">
        <f t="shared" si="26"/>
        <v/>
      </c>
      <c r="CO377" s="88" t="str">
        <f t="shared" si="15"/>
        <v/>
      </c>
      <c r="CP377" s="88" t="str">
        <f t="shared" si="16"/>
        <v/>
      </c>
      <c r="CQ377" s="88" t="str">
        <f t="shared" si="17"/>
        <v/>
      </c>
      <c r="CR377" s="88" t="str">
        <f t="shared" si="18"/>
        <v/>
      </c>
      <c r="CS377" s="88" t="str">
        <f t="shared" si="19"/>
        <v/>
      </c>
      <c r="CT377" s="88" t="str">
        <f t="shared" si="20"/>
        <v/>
      </c>
      <c r="CU377" s="88" t="str">
        <f t="shared" si="21"/>
        <v/>
      </c>
      <c r="CV377" s="88" t="str">
        <f t="shared" si="22"/>
        <v/>
      </c>
      <c r="CW377" s="88" t="str">
        <f t="shared" si="23"/>
        <v/>
      </c>
      <c r="CX377" s="7"/>
      <c r="CY377" s="7"/>
      <c r="CZ377" s="7"/>
      <c r="DA377" s="8"/>
      <c r="DU377" s="104" t="str">
        <f t="shared" si="24"/>
        <v/>
      </c>
      <c r="DV377" s="93" t="str">
        <f>ABA!$A377</f>
        <v/>
      </c>
      <c r="DW377" s="82" t="str">
        <f t="shared" si="25"/>
        <v/>
      </c>
    </row>
    <row r="378" ht="15.75" customHeight="1">
      <c r="A378" s="85"/>
      <c r="B378" s="107"/>
      <c r="C378" s="98"/>
      <c r="D378" s="98"/>
      <c r="E378" s="99"/>
      <c r="F378" s="98"/>
      <c r="G378" s="98"/>
      <c r="H378" s="98"/>
      <c r="I378" s="99"/>
      <c r="J378" s="98"/>
      <c r="K378" s="98"/>
      <c r="L378" s="98"/>
      <c r="M378" s="99"/>
      <c r="N378" s="98"/>
      <c r="O378" s="98"/>
      <c r="P378" s="98"/>
      <c r="Q378" s="99"/>
      <c r="R378" s="98"/>
      <c r="S378" s="98"/>
      <c r="T378" s="98"/>
      <c r="U378" s="99"/>
      <c r="V378" s="98"/>
      <c r="W378" s="98"/>
      <c r="X378" s="98"/>
      <c r="Y378" s="100"/>
      <c r="Z378" s="98"/>
      <c r="AA378" s="98"/>
      <c r="AB378" s="98"/>
      <c r="AC378" s="99"/>
      <c r="AD378" s="98"/>
      <c r="AE378" s="98"/>
      <c r="AF378" s="98"/>
      <c r="AG378" s="99"/>
      <c r="AH378" s="98"/>
      <c r="AI378" s="98"/>
      <c r="AJ378" s="98"/>
      <c r="AK378" s="99"/>
      <c r="AL378" s="98"/>
      <c r="AM378" s="98"/>
      <c r="AN378" s="98"/>
      <c r="AO378" s="98"/>
      <c r="AP378" s="84" t="str">
        <f t="shared" si="2"/>
        <v/>
      </c>
      <c r="AQ378" s="9"/>
      <c r="AR378" s="9"/>
      <c r="AS378" s="8"/>
      <c r="AT378" s="9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8"/>
      <c r="BX378" s="9"/>
      <c r="BY378" s="9"/>
      <c r="BZ378" s="9"/>
      <c r="CA378" s="33"/>
      <c r="CB378" s="85" t="str">
        <f t="shared" si="3"/>
        <v/>
      </c>
      <c r="CC378" s="86" t="str">
        <f t="shared" si="4"/>
        <v/>
      </c>
      <c r="CD378" s="86" t="str">
        <f t="shared" si="5"/>
        <v/>
      </c>
      <c r="CE378" s="86" t="str">
        <f t="shared" si="6"/>
        <v/>
      </c>
      <c r="CF378" s="86" t="str">
        <f t="shared" si="7"/>
        <v/>
      </c>
      <c r="CG378" s="86" t="str">
        <f t="shared" si="8"/>
        <v/>
      </c>
      <c r="CH378" s="86" t="str">
        <f t="shared" si="9"/>
        <v/>
      </c>
      <c r="CI378" s="86" t="str">
        <f t="shared" si="10"/>
        <v/>
      </c>
      <c r="CJ378" s="86" t="str">
        <f t="shared" si="11"/>
        <v/>
      </c>
      <c r="CK378" s="86" t="str">
        <f t="shared" si="12"/>
        <v/>
      </c>
      <c r="CL378" s="86" t="str">
        <f t="shared" si="13"/>
        <v/>
      </c>
      <c r="CM378" s="87" t="str">
        <f t="shared" si="14"/>
        <v/>
      </c>
      <c r="CN378" s="88" t="str">
        <f t="shared" si="26"/>
        <v/>
      </c>
      <c r="CO378" s="88" t="str">
        <f t="shared" si="15"/>
        <v/>
      </c>
      <c r="CP378" s="88" t="str">
        <f t="shared" si="16"/>
        <v/>
      </c>
      <c r="CQ378" s="88" t="str">
        <f t="shared" si="17"/>
        <v/>
      </c>
      <c r="CR378" s="88" t="str">
        <f t="shared" si="18"/>
        <v/>
      </c>
      <c r="CS378" s="88" t="str">
        <f t="shared" si="19"/>
        <v/>
      </c>
      <c r="CT378" s="88" t="str">
        <f t="shared" si="20"/>
        <v/>
      </c>
      <c r="CU378" s="88" t="str">
        <f t="shared" si="21"/>
        <v/>
      </c>
      <c r="CV378" s="88" t="str">
        <f t="shared" si="22"/>
        <v/>
      </c>
      <c r="CW378" s="88" t="str">
        <f t="shared" si="23"/>
        <v/>
      </c>
      <c r="CX378" s="7"/>
      <c r="CY378" s="7"/>
      <c r="CZ378" s="7"/>
      <c r="DA378" s="8"/>
      <c r="DU378" s="93" t="str">
        <f t="shared" si="24"/>
        <v/>
      </c>
      <c r="DV378" s="104" t="str">
        <f>ABA!$A378</f>
        <v/>
      </c>
      <c r="DW378" s="98" t="str">
        <f t="shared" si="25"/>
        <v/>
      </c>
    </row>
    <row r="379" ht="15.75" customHeight="1">
      <c r="A379" s="78"/>
      <c r="B379" s="105"/>
      <c r="C379" s="82"/>
      <c r="D379" s="82"/>
      <c r="E379" s="83"/>
      <c r="F379" s="82"/>
      <c r="G379" s="82"/>
      <c r="H379" s="82"/>
      <c r="I379" s="83"/>
      <c r="J379" s="82"/>
      <c r="K379" s="82"/>
      <c r="L379" s="82"/>
      <c r="M379" s="83"/>
      <c r="N379" s="82"/>
      <c r="O379" s="82"/>
      <c r="P379" s="82"/>
      <c r="Q379" s="83"/>
      <c r="R379" s="82"/>
      <c r="S379" s="82"/>
      <c r="T379" s="82"/>
      <c r="U379" s="83"/>
      <c r="V379" s="82"/>
      <c r="W379" s="82"/>
      <c r="X379" s="82"/>
      <c r="Y379" s="83"/>
      <c r="Z379" s="82"/>
      <c r="AA379" s="82"/>
      <c r="AB379" s="82"/>
      <c r="AC379" s="83"/>
      <c r="AD379" s="82"/>
      <c r="AE379" s="82"/>
      <c r="AF379" s="82"/>
      <c r="AG379" s="83"/>
      <c r="AH379" s="82"/>
      <c r="AI379" s="82"/>
      <c r="AJ379" s="82"/>
      <c r="AK379" s="83"/>
      <c r="AL379" s="82"/>
      <c r="AM379" s="82"/>
      <c r="AN379" s="82"/>
      <c r="AO379" s="82"/>
      <c r="AP379" s="84" t="str">
        <f t="shared" si="2"/>
        <v/>
      </c>
      <c r="AQ379" s="9"/>
      <c r="AR379" s="9"/>
      <c r="AS379" s="8"/>
      <c r="AT379" s="9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8"/>
      <c r="BX379" s="9"/>
      <c r="BY379" s="9"/>
      <c r="BZ379" s="9"/>
      <c r="CA379" s="33"/>
      <c r="CB379" s="85" t="str">
        <f t="shared" si="3"/>
        <v/>
      </c>
      <c r="CC379" s="86" t="str">
        <f t="shared" si="4"/>
        <v/>
      </c>
      <c r="CD379" s="86" t="str">
        <f t="shared" si="5"/>
        <v/>
      </c>
      <c r="CE379" s="86" t="str">
        <f t="shared" si="6"/>
        <v/>
      </c>
      <c r="CF379" s="86" t="str">
        <f t="shared" si="7"/>
        <v/>
      </c>
      <c r="CG379" s="86" t="str">
        <f t="shared" si="8"/>
        <v/>
      </c>
      <c r="CH379" s="86" t="str">
        <f t="shared" si="9"/>
        <v/>
      </c>
      <c r="CI379" s="86" t="str">
        <f t="shared" si="10"/>
        <v/>
      </c>
      <c r="CJ379" s="86" t="str">
        <f t="shared" si="11"/>
        <v/>
      </c>
      <c r="CK379" s="86" t="str">
        <f t="shared" si="12"/>
        <v/>
      </c>
      <c r="CL379" s="86" t="str">
        <f t="shared" si="13"/>
        <v/>
      </c>
      <c r="CM379" s="87" t="str">
        <f t="shared" si="14"/>
        <v/>
      </c>
      <c r="CN379" s="88" t="str">
        <f t="shared" si="26"/>
        <v/>
      </c>
      <c r="CO379" s="88" t="str">
        <f t="shared" si="15"/>
        <v/>
      </c>
      <c r="CP379" s="88" t="str">
        <f t="shared" si="16"/>
        <v/>
      </c>
      <c r="CQ379" s="88" t="str">
        <f t="shared" si="17"/>
        <v/>
      </c>
      <c r="CR379" s="88" t="str">
        <f t="shared" si="18"/>
        <v/>
      </c>
      <c r="CS379" s="88" t="str">
        <f t="shared" si="19"/>
        <v/>
      </c>
      <c r="CT379" s="88" t="str">
        <f t="shared" si="20"/>
        <v/>
      </c>
      <c r="CU379" s="88" t="str">
        <f t="shared" si="21"/>
        <v/>
      </c>
      <c r="CV379" s="88" t="str">
        <f t="shared" si="22"/>
        <v/>
      </c>
      <c r="CW379" s="88" t="str">
        <f t="shared" si="23"/>
        <v/>
      </c>
      <c r="CX379" s="7"/>
      <c r="CY379" s="7"/>
      <c r="CZ379" s="7"/>
      <c r="DA379" s="8"/>
      <c r="DU379" s="104" t="str">
        <f t="shared" si="24"/>
        <v/>
      </c>
      <c r="DV379" s="93" t="str">
        <f>ABA!$A379</f>
        <v/>
      </c>
      <c r="DW379" s="82" t="str">
        <f t="shared" si="25"/>
        <v/>
      </c>
    </row>
    <row r="380" ht="15.75" customHeight="1">
      <c r="A380" s="85"/>
      <c r="B380" s="107"/>
      <c r="C380" s="98"/>
      <c r="D380" s="98"/>
      <c r="E380" s="99"/>
      <c r="F380" s="98"/>
      <c r="G380" s="98"/>
      <c r="H380" s="98"/>
      <c r="I380" s="99"/>
      <c r="J380" s="98"/>
      <c r="K380" s="98"/>
      <c r="L380" s="98"/>
      <c r="M380" s="99"/>
      <c r="N380" s="98"/>
      <c r="O380" s="98"/>
      <c r="P380" s="98"/>
      <c r="Q380" s="99"/>
      <c r="R380" s="98"/>
      <c r="S380" s="98"/>
      <c r="T380" s="98"/>
      <c r="U380" s="99"/>
      <c r="V380" s="98"/>
      <c r="W380" s="98"/>
      <c r="X380" s="98"/>
      <c r="Y380" s="100"/>
      <c r="Z380" s="98"/>
      <c r="AA380" s="98"/>
      <c r="AB380" s="98"/>
      <c r="AC380" s="99"/>
      <c r="AD380" s="98"/>
      <c r="AE380" s="98"/>
      <c r="AF380" s="98"/>
      <c r="AG380" s="99"/>
      <c r="AH380" s="98"/>
      <c r="AI380" s="98"/>
      <c r="AJ380" s="98"/>
      <c r="AK380" s="99"/>
      <c r="AL380" s="98"/>
      <c r="AM380" s="98"/>
      <c r="AN380" s="98"/>
      <c r="AO380" s="98"/>
      <c r="AP380" s="84" t="str">
        <f t="shared" si="2"/>
        <v/>
      </c>
      <c r="AQ380" s="9"/>
      <c r="AR380" s="9"/>
      <c r="AS380" s="8"/>
      <c r="AT380" s="9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8"/>
      <c r="BX380" s="9"/>
      <c r="BY380" s="9"/>
      <c r="BZ380" s="9"/>
      <c r="CA380" s="33"/>
      <c r="CB380" s="85" t="str">
        <f t="shared" si="3"/>
        <v/>
      </c>
      <c r="CC380" s="86" t="str">
        <f t="shared" si="4"/>
        <v/>
      </c>
      <c r="CD380" s="86" t="str">
        <f t="shared" si="5"/>
        <v/>
      </c>
      <c r="CE380" s="86" t="str">
        <f t="shared" si="6"/>
        <v/>
      </c>
      <c r="CF380" s="86" t="str">
        <f t="shared" si="7"/>
        <v/>
      </c>
      <c r="CG380" s="86" t="str">
        <f t="shared" si="8"/>
        <v/>
      </c>
      <c r="CH380" s="86" t="str">
        <f t="shared" si="9"/>
        <v/>
      </c>
      <c r="CI380" s="86" t="str">
        <f t="shared" si="10"/>
        <v/>
      </c>
      <c r="CJ380" s="86" t="str">
        <f t="shared" si="11"/>
        <v/>
      </c>
      <c r="CK380" s="86" t="str">
        <f t="shared" si="12"/>
        <v/>
      </c>
      <c r="CL380" s="86" t="str">
        <f t="shared" si="13"/>
        <v/>
      </c>
      <c r="CM380" s="87" t="str">
        <f t="shared" si="14"/>
        <v/>
      </c>
      <c r="CN380" s="88" t="str">
        <f t="shared" si="26"/>
        <v/>
      </c>
      <c r="CO380" s="88" t="str">
        <f t="shared" si="15"/>
        <v/>
      </c>
      <c r="CP380" s="88" t="str">
        <f t="shared" si="16"/>
        <v/>
      </c>
      <c r="CQ380" s="88" t="str">
        <f t="shared" si="17"/>
        <v/>
      </c>
      <c r="CR380" s="88" t="str">
        <f t="shared" si="18"/>
        <v/>
      </c>
      <c r="CS380" s="88" t="str">
        <f t="shared" si="19"/>
        <v/>
      </c>
      <c r="CT380" s="88" t="str">
        <f t="shared" si="20"/>
        <v/>
      </c>
      <c r="CU380" s="88" t="str">
        <f t="shared" si="21"/>
        <v/>
      </c>
      <c r="CV380" s="88" t="str">
        <f t="shared" si="22"/>
        <v/>
      </c>
      <c r="CW380" s="88" t="str">
        <f t="shared" si="23"/>
        <v/>
      </c>
      <c r="CX380" s="7"/>
      <c r="CY380" s="7"/>
      <c r="CZ380" s="7"/>
      <c r="DA380" s="8"/>
      <c r="DU380" s="93" t="str">
        <f t="shared" si="24"/>
        <v/>
      </c>
      <c r="DV380" s="104" t="str">
        <f>ABA!$A380</f>
        <v/>
      </c>
      <c r="DW380" s="98" t="str">
        <f t="shared" si="25"/>
        <v/>
      </c>
    </row>
    <row r="381" ht="15.75" customHeight="1">
      <c r="A381" s="78"/>
      <c r="B381" s="105"/>
      <c r="C381" s="82"/>
      <c r="D381" s="82"/>
      <c r="E381" s="83"/>
      <c r="F381" s="82"/>
      <c r="G381" s="82"/>
      <c r="H381" s="82"/>
      <c r="I381" s="83"/>
      <c r="J381" s="82"/>
      <c r="K381" s="82"/>
      <c r="L381" s="82"/>
      <c r="M381" s="83"/>
      <c r="N381" s="82"/>
      <c r="O381" s="82"/>
      <c r="P381" s="82"/>
      <c r="Q381" s="83"/>
      <c r="R381" s="82"/>
      <c r="S381" s="82"/>
      <c r="T381" s="82"/>
      <c r="U381" s="83"/>
      <c r="V381" s="82"/>
      <c r="W381" s="82"/>
      <c r="X381" s="82"/>
      <c r="Y381" s="83"/>
      <c r="Z381" s="82"/>
      <c r="AA381" s="82"/>
      <c r="AB381" s="82"/>
      <c r="AC381" s="83"/>
      <c r="AD381" s="82"/>
      <c r="AE381" s="82"/>
      <c r="AF381" s="82"/>
      <c r="AG381" s="83"/>
      <c r="AH381" s="82"/>
      <c r="AI381" s="82"/>
      <c r="AJ381" s="82"/>
      <c r="AK381" s="83"/>
      <c r="AL381" s="82"/>
      <c r="AM381" s="82"/>
      <c r="AN381" s="82"/>
      <c r="AO381" s="82"/>
      <c r="AP381" s="84" t="str">
        <f t="shared" si="2"/>
        <v/>
      </c>
      <c r="AQ381" s="9"/>
      <c r="AR381" s="9"/>
      <c r="AS381" s="8"/>
      <c r="AT381" s="9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8"/>
      <c r="BX381" s="9"/>
      <c r="BY381" s="9"/>
      <c r="BZ381" s="9"/>
      <c r="CA381" s="33"/>
      <c r="CB381" s="85" t="str">
        <f t="shared" si="3"/>
        <v/>
      </c>
      <c r="CC381" s="86" t="str">
        <f t="shared" si="4"/>
        <v/>
      </c>
      <c r="CD381" s="86" t="str">
        <f t="shared" si="5"/>
        <v/>
      </c>
      <c r="CE381" s="86" t="str">
        <f t="shared" si="6"/>
        <v/>
      </c>
      <c r="CF381" s="86" t="str">
        <f t="shared" si="7"/>
        <v/>
      </c>
      <c r="CG381" s="86" t="str">
        <f t="shared" si="8"/>
        <v/>
      </c>
      <c r="CH381" s="86" t="str">
        <f t="shared" si="9"/>
        <v/>
      </c>
      <c r="CI381" s="86" t="str">
        <f t="shared" si="10"/>
        <v/>
      </c>
      <c r="CJ381" s="86" t="str">
        <f t="shared" si="11"/>
        <v/>
      </c>
      <c r="CK381" s="86" t="str">
        <f t="shared" si="12"/>
        <v/>
      </c>
      <c r="CL381" s="86" t="str">
        <f t="shared" si="13"/>
        <v/>
      </c>
      <c r="CM381" s="87" t="str">
        <f t="shared" si="14"/>
        <v/>
      </c>
      <c r="CN381" s="88" t="str">
        <f t="shared" si="26"/>
        <v/>
      </c>
      <c r="CO381" s="88" t="str">
        <f t="shared" si="15"/>
        <v/>
      </c>
      <c r="CP381" s="88" t="str">
        <f t="shared" si="16"/>
        <v/>
      </c>
      <c r="CQ381" s="88" t="str">
        <f t="shared" si="17"/>
        <v/>
      </c>
      <c r="CR381" s="88" t="str">
        <f t="shared" si="18"/>
        <v/>
      </c>
      <c r="CS381" s="88" t="str">
        <f t="shared" si="19"/>
        <v/>
      </c>
      <c r="CT381" s="88" t="str">
        <f t="shared" si="20"/>
        <v/>
      </c>
      <c r="CU381" s="88" t="str">
        <f t="shared" si="21"/>
        <v/>
      </c>
      <c r="CV381" s="88" t="str">
        <f t="shared" si="22"/>
        <v/>
      </c>
      <c r="CW381" s="88" t="str">
        <f t="shared" si="23"/>
        <v/>
      </c>
      <c r="CX381" s="7"/>
      <c r="CY381" s="7"/>
      <c r="CZ381" s="7"/>
      <c r="DA381" s="8"/>
      <c r="DU381" s="104" t="str">
        <f t="shared" si="24"/>
        <v/>
      </c>
      <c r="DV381" s="93" t="str">
        <f>ABA!$A381</f>
        <v/>
      </c>
      <c r="DW381" s="82" t="str">
        <f t="shared" si="25"/>
        <v/>
      </c>
    </row>
    <row r="382" ht="15.75" customHeight="1">
      <c r="A382" s="85"/>
      <c r="B382" s="107"/>
      <c r="C382" s="98"/>
      <c r="D382" s="98"/>
      <c r="E382" s="99"/>
      <c r="F382" s="98"/>
      <c r="G382" s="98"/>
      <c r="H382" s="98"/>
      <c r="I382" s="99"/>
      <c r="J382" s="98"/>
      <c r="K382" s="98"/>
      <c r="L382" s="98"/>
      <c r="M382" s="99"/>
      <c r="N382" s="98"/>
      <c r="O382" s="98"/>
      <c r="P382" s="98"/>
      <c r="Q382" s="99"/>
      <c r="R382" s="98"/>
      <c r="S382" s="98"/>
      <c r="T382" s="98"/>
      <c r="U382" s="99"/>
      <c r="V382" s="98"/>
      <c r="W382" s="98"/>
      <c r="X382" s="98"/>
      <c r="Y382" s="100"/>
      <c r="Z382" s="98"/>
      <c r="AA382" s="98"/>
      <c r="AB382" s="98"/>
      <c r="AC382" s="99"/>
      <c r="AD382" s="98"/>
      <c r="AE382" s="98"/>
      <c r="AF382" s="98"/>
      <c r="AG382" s="99"/>
      <c r="AH382" s="98"/>
      <c r="AI382" s="98"/>
      <c r="AJ382" s="98"/>
      <c r="AK382" s="99"/>
      <c r="AL382" s="98"/>
      <c r="AM382" s="98"/>
      <c r="AN382" s="98"/>
      <c r="AO382" s="98"/>
      <c r="AP382" s="84" t="str">
        <f t="shared" si="2"/>
        <v/>
      </c>
      <c r="AQ382" s="9"/>
      <c r="AR382" s="9"/>
      <c r="AS382" s="8"/>
      <c r="AT382" s="9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8"/>
      <c r="BX382" s="9"/>
      <c r="BY382" s="9"/>
      <c r="BZ382" s="9"/>
      <c r="CA382" s="33"/>
      <c r="CB382" s="85" t="str">
        <f t="shared" si="3"/>
        <v/>
      </c>
      <c r="CC382" s="86" t="str">
        <f t="shared" si="4"/>
        <v/>
      </c>
      <c r="CD382" s="86" t="str">
        <f t="shared" si="5"/>
        <v/>
      </c>
      <c r="CE382" s="86" t="str">
        <f t="shared" si="6"/>
        <v/>
      </c>
      <c r="CF382" s="86" t="str">
        <f t="shared" si="7"/>
        <v/>
      </c>
      <c r="CG382" s="86" t="str">
        <f t="shared" si="8"/>
        <v/>
      </c>
      <c r="CH382" s="86" t="str">
        <f t="shared" si="9"/>
        <v/>
      </c>
      <c r="CI382" s="86" t="str">
        <f t="shared" si="10"/>
        <v/>
      </c>
      <c r="CJ382" s="86" t="str">
        <f t="shared" si="11"/>
        <v/>
      </c>
      <c r="CK382" s="86" t="str">
        <f t="shared" si="12"/>
        <v/>
      </c>
      <c r="CL382" s="86" t="str">
        <f t="shared" si="13"/>
        <v/>
      </c>
      <c r="CM382" s="87" t="str">
        <f t="shared" si="14"/>
        <v/>
      </c>
      <c r="CN382" s="88" t="str">
        <f t="shared" si="26"/>
        <v/>
      </c>
      <c r="CO382" s="88" t="str">
        <f t="shared" si="15"/>
        <v/>
      </c>
      <c r="CP382" s="88" t="str">
        <f t="shared" si="16"/>
        <v/>
      </c>
      <c r="CQ382" s="88" t="str">
        <f t="shared" si="17"/>
        <v/>
      </c>
      <c r="CR382" s="88" t="str">
        <f t="shared" si="18"/>
        <v/>
      </c>
      <c r="CS382" s="88" t="str">
        <f t="shared" si="19"/>
        <v/>
      </c>
      <c r="CT382" s="88" t="str">
        <f t="shared" si="20"/>
        <v/>
      </c>
      <c r="CU382" s="88" t="str">
        <f t="shared" si="21"/>
        <v/>
      </c>
      <c r="CV382" s="88" t="str">
        <f t="shared" si="22"/>
        <v/>
      </c>
      <c r="CW382" s="88" t="str">
        <f t="shared" si="23"/>
        <v/>
      </c>
      <c r="CX382" s="7"/>
      <c r="CY382" s="7"/>
      <c r="CZ382" s="7"/>
      <c r="DA382" s="8"/>
      <c r="DU382" s="93" t="str">
        <f t="shared" si="24"/>
        <v/>
      </c>
      <c r="DV382" s="104" t="str">
        <f>ABA!$A382</f>
        <v/>
      </c>
      <c r="DW382" s="98" t="str">
        <f t="shared" si="25"/>
        <v/>
      </c>
    </row>
    <row r="383" ht="15.75" customHeight="1">
      <c r="A383" s="78"/>
      <c r="B383" s="105"/>
      <c r="C383" s="82"/>
      <c r="D383" s="82"/>
      <c r="E383" s="83"/>
      <c r="F383" s="82"/>
      <c r="G383" s="82"/>
      <c r="H383" s="82"/>
      <c r="I383" s="83"/>
      <c r="J383" s="82"/>
      <c r="K383" s="82"/>
      <c r="L383" s="82"/>
      <c r="M383" s="83"/>
      <c r="N383" s="82"/>
      <c r="O383" s="82"/>
      <c r="P383" s="82"/>
      <c r="Q383" s="83"/>
      <c r="R383" s="82"/>
      <c r="S383" s="82"/>
      <c r="T383" s="82"/>
      <c r="U383" s="83"/>
      <c r="V383" s="82"/>
      <c r="W383" s="82"/>
      <c r="X383" s="82"/>
      <c r="Y383" s="83"/>
      <c r="Z383" s="82"/>
      <c r="AA383" s="82"/>
      <c r="AB383" s="82"/>
      <c r="AC383" s="83"/>
      <c r="AD383" s="82"/>
      <c r="AE383" s="82"/>
      <c r="AF383" s="82"/>
      <c r="AG383" s="83"/>
      <c r="AH383" s="82"/>
      <c r="AI383" s="82"/>
      <c r="AJ383" s="82"/>
      <c r="AK383" s="83"/>
      <c r="AL383" s="82"/>
      <c r="AM383" s="82"/>
      <c r="AN383" s="82"/>
      <c r="AO383" s="82"/>
      <c r="AP383" s="84" t="str">
        <f t="shared" si="2"/>
        <v/>
      </c>
      <c r="AQ383" s="9"/>
      <c r="AR383" s="9"/>
      <c r="AS383" s="8"/>
      <c r="AT383" s="9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8"/>
      <c r="BX383" s="9"/>
      <c r="BY383" s="9"/>
      <c r="BZ383" s="9"/>
      <c r="CA383" s="33"/>
      <c r="CB383" s="85" t="str">
        <f t="shared" si="3"/>
        <v/>
      </c>
      <c r="CC383" s="86" t="str">
        <f t="shared" si="4"/>
        <v/>
      </c>
      <c r="CD383" s="86" t="str">
        <f t="shared" si="5"/>
        <v/>
      </c>
      <c r="CE383" s="86" t="str">
        <f t="shared" si="6"/>
        <v/>
      </c>
      <c r="CF383" s="86" t="str">
        <f t="shared" si="7"/>
        <v/>
      </c>
      <c r="CG383" s="86" t="str">
        <f t="shared" si="8"/>
        <v/>
      </c>
      <c r="CH383" s="86" t="str">
        <f t="shared" si="9"/>
        <v/>
      </c>
      <c r="CI383" s="86" t="str">
        <f t="shared" si="10"/>
        <v/>
      </c>
      <c r="CJ383" s="86" t="str">
        <f t="shared" si="11"/>
        <v/>
      </c>
      <c r="CK383" s="86" t="str">
        <f t="shared" si="12"/>
        <v/>
      </c>
      <c r="CL383" s="86" t="str">
        <f t="shared" si="13"/>
        <v/>
      </c>
      <c r="CM383" s="87" t="str">
        <f t="shared" si="14"/>
        <v/>
      </c>
      <c r="CN383" s="88" t="str">
        <f t="shared" si="26"/>
        <v/>
      </c>
      <c r="CO383" s="88" t="str">
        <f t="shared" si="15"/>
        <v/>
      </c>
      <c r="CP383" s="88" t="str">
        <f t="shared" si="16"/>
        <v/>
      </c>
      <c r="CQ383" s="88" t="str">
        <f t="shared" si="17"/>
        <v/>
      </c>
      <c r="CR383" s="88" t="str">
        <f t="shared" si="18"/>
        <v/>
      </c>
      <c r="CS383" s="88" t="str">
        <f t="shared" si="19"/>
        <v/>
      </c>
      <c r="CT383" s="88" t="str">
        <f t="shared" si="20"/>
        <v/>
      </c>
      <c r="CU383" s="88" t="str">
        <f t="shared" si="21"/>
        <v/>
      </c>
      <c r="CV383" s="88" t="str">
        <f t="shared" si="22"/>
        <v/>
      </c>
      <c r="CW383" s="88" t="str">
        <f t="shared" si="23"/>
        <v/>
      </c>
      <c r="CX383" s="7"/>
      <c r="CY383" s="7"/>
      <c r="CZ383" s="7"/>
      <c r="DA383" s="8"/>
      <c r="DU383" s="104" t="str">
        <f t="shared" si="24"/>
        <v/>
      </c>
      <c r="DV383" s="93" t="str">
        <f>ABA!$A383</f>
        <v/>
      </c>
      <c r="DW383" s="82" t="str">
        <f t="shared" si="25"/>
        <v/>
      </c>
    </row>
    <row r="384" ht="15.75" customHeight="1">
      <c r="A384" s="85"/>
      <c r="B384" s="107"/>
      <c r="C384" s="98"/>
      <c r="D384" s="98"/>
      <c r="E384" s="99"/>
      <c r="F384" s="98"/>
      <c r="G384" s="98"/>
      <c r="H384" s="98"/>
      <c r="I384" s="99"/>
      <c r="J384" s="98"/>
      <c r="K384" s="98"/>
      <c r="L384" s="98"/>
      <c r="M384" s="99"/>
      <c r="N384" s="98"/>
      <c r="O384" s="98"/>
      <c r="P384" s="98"/>
      <c r="Q384" s="99"/>
      <c r="R384" s="98"/>
      <c r="S384" s="98"/>
      <c r="T384" s="98"/>
      <c r="U384" s="99"/>
      <c r="V384" s="98"/>
      <c r="W384" s="98"/>
      <c r="X384" s="98"/>
      <c r="Y384" s="100"/>
      <c r="Z384" s="98"/>
      <c r="AA384" s="98"/>
      <c r="AB384" s="98"/>
      <c r="AC384" s="99"/>
      <c r="AD384" s="98"/>
      <c r="AE384" s="98"/>
      <c r="AF384" s="98"/>
      <c r="AG384" s="99"/>
      <c r="AH384" s="98"/>
      <c r="AI384" s="98"/>
      <c r="AJ384" s="98"/>
      <c r="AK384" s="99"/>
      <c r="AL384" s="98"/>
      <c r="AM384" s="98"/>
      <c r="AN384" s="98"/>
      <c r="AO384" s="98"/>
      <c r="AP384" s="84" t="str">
        <f t="shared" si="2"/>
        <v/>
      </c>
      <c r="AQ384" s="9"/>
      <c r="AR384" s="9"/>
      <c r="AS384" s="8"/>
      <c r="AT384" s="9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8"/>
      <c r="BX384" s="9"/>
      <c r="BY384" s="9"/>
      <c r="BZ384" s="9"/>
      <c r="CA384" s="33"/>
      <c r="CB384" s="85" t="str">
        <f t="shared" si="3"/>
        <v/>
      </c>
      <c r="CC384" s="86" t="str">
        <f t="shared" si="4"/>
        <v/>
      </c>
      <c r="CD384" s="86" t="str">
        <f t="shared" si="5"/>
        <v/>
      </c>
      <c r="CE384" s="86" t="str">
        <f t="shared" si="6"/>
        <v/>
      </c>
      <c r="CF384" s="86" t="str">
        <f t="shared" si="7"/>
        <v/>
      </c>
      <c r="CG384" s="86" t="str">
        <f t="shared" si="8"/>
        <v/>
      </c>
      <c r="CH384" s="86" t="str">
        <f t="shared" si="9"/>
        <v/>
      </c>
      <c r="CI384" s="86" t="str">
        <f t="shared" si="10"/>
        <v/>
      </c>
      <c r="CJ384" s="86" t="str">
        <f t="shared" si="11"/>
        <v/>
      </c>
      <c r="CK384" s="86" t="str">
        <f t="shared" si="12"/>
        <v/>
      </c>
      <c r="CL384" s="86" t="str">
        <f t="shared" si="13"/>
        <v/>
      </c>
      <c r="CM384" s="87" t="str">
        <f t="shared" si="14"/>
        <v/>
      </c>
      <c r="CN384" s="88" t="str">
        <f t="shared" si="26"/>
        <v/>
      </c>
      <c r="CO384" s="88" t="str">
        <f t="shared" si="15"/>
        <v/>
      </c>
      <c r="CP384" s="88" t="str">
        <f t="shared" si="16"/>
        <v/>
      </c>
      <c r="CQ384" s="88" t="str">
        <f t="shared" si="17"/>
        <v/>
      </c>
      <c r="CR384" s="88" t="str">
        <f t="shared" si="18"/>
        <v/>
      </c>
      <c r="CS384" s="88" t="str">
        <f t="shared" si="19"/>
        <v/>
      </c>
      <c r="CT384" s="88" t="str">
        <f t="shared" si="20"/>
        <v/>
      </c>
      <c r="CU384" s="88" t="str">
        <f t="shared" si="21"/>
        <v/>
      </c>
      <c r="CV384" s="88" t="str">
        <f t="shared" si="22"/>
        <v/>
      </c>
      <c r="CW384" s="88" t="str">
        <f t="shared" si="23"/>
        <v/>
      </c>
      <c r="CX384" s="7"/>
      <c r="CY384" s="7"/>
      <c r="CZ384" s="7"/>
      <c r="DA384" s="8"/>
      <c r="DU384" s="93" t="str">
        <f t="shared" si="24"/>
        <v/>
      </c>
      <c r="DV384" s="104" t="str">
        <f>ABA!$A384</f>
        <v/>
      </c>
      <c r="DW384" s="98" t="str">
        <f t="shared" si="25"/>
        <v/>
      </c>
    </row>
    <row r="385" ht="15.75" customHeight="1">
      <c r="A385" s="78"/>
      <c r="B385" s="105"/>
      <c r="C385" s="82"/>
      <c r="D385" s="82"/>
      <c r="E385" s="83"/>
      <c r="F385" s="82"/>
      <c r="G385" s="82"/>
      <c r="H385" s="82"/>
      <c r="I385" s="83"/>
      <c r="J385" s="82"/>
      <c r="K385" s="82"/>
      <c r="L385" s="82"/>
      <c r="M385" s="83"/>
      <c r="N385" s="82"/>
      <c r="O385" s="82"/>
      <c r="P385" s="82"/>
      <c r="Q385" s="83"/>
      <c r="R385" s="82"/>
      <c r="S385" s="82"/>
      <c r="T385" s="82"/>
      <c r="U385" s="83"/>
      <c r="V385" s="82"/>
      <c r="W385" s="82"/>
      <c r="X385" s="82"/>
      <c r="Y385" s="83"/>
      <c r="Z385" s="82"/>
      <c r="AA385" s="82"/>
      <c r="AB385" s="82"/>
      <c r="AC385" s="83"/>
      <c r="AD385" s="82"/>
      <c r="AE385" s="82"/>
      <c r="AF385" s="82"/>
      <c r="AG385" s="83"/>
      <c r="AH385" s="82"/>
      <c r="AI385" s="82"/>
      <c r="AJ385" s="82"/>
      <c r="AK385" s="83"/>
      <c r="AL385" s="82"/>
      <c r="AM385" s="82"/>
      <c r="AN385" s="82"/>
      <c r="AO385" s="82"/>
      <c r="AP385" s="84" t="str">
        <f t="shared" si="2"/>
        <v/>
      </c>
      <c r="AQ385" s="9"/>
      <c r="AR385" s="9"/>
      <c r="AS385" s="8"/>
      <c r="AT385" s="9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8"/>
      <c r="BX385" s="9"/>
      <c r="BY385" s="9"/>
      <c r="BZ385" s="9"/>
      <c r="CA385" s="33"/>
      <c r="CB385" s="85" t="str">
        <f t="shared" si="3"/>
        <v/>
      </c>
      <c r="CC385" s="86" t="str">
        <f t="shared" si="4"/>
        <v/>
      </c>
      <c r="CD385" s="86" t="str">
        <f t="shared" si="5"/>
        <v/>
      </c>
      <c r="CE385" s="86" t="str">
        <f t="shared" si="6"/>
        <v/>
      </c>
      <c r="CF385" s="86" t="str">
        <f t="shared" si="7"/>
        <v/>
      </c>
      <c r="CG385" s="86" t="str">
        <f t="shared" si="8"/>
        <v/>
      </c>
      <c r="CH385" s="86" t="str">
        <f t="shared" si="9"/>
        <v/>
      </c>
      <c r="CI385" s="86" t="str">
        <f t="shared" si="10"/>
        <v/>
      </c>
      <c r="CJ385" s="86" t="str">
        <f t="shared" si="11"/>
        <v/>
      </c>
      <c r="CK385" s="86" t="str">
        <f t="shared" si="12"/>
        <v/>
      </c>
      <c r="CL385" s="86" t="str">
        <f t="shared" si="13"/>
        <v/>
      </c>
      <c r="CM385" s="87" t="str">
        <f t="shared" si="14"/>
        <v/>
      </c>
      <c r="CN385" s="88" t="str">
        <f t="shared" si="26"/>
        <v/>
      </c>
      <c r="CO385" s="88" t="str">
        <f t="shared" si="15"/>
        <v/>
      </c>
      <c r="CP385" s="88" t="str">
        <f t="shared" si="16"/>
        <v/>
      </c>
      <c r="CQ385" s="88" t="str">
        <f t="shared" si="17"/>
        <v/>
      </c>
      <c r="CR385" s="88" t="str">
        <f t="shared" si="18"/>
        <v/>
      </c>
      <c r="CS385" s="88" t="str">
        <f t="shared" si="19"/>
        <v/>
      </c>
      <c r="CT385" s="88" t="str">
        <f t="shared" si="20"/>
        <v/>
      </c>
      <c r="CU385" s="88" t="str">
        <f t="shared" si="21"/>
        <v/>
      </c>
      <c r="CV385" s="88" t="str">
        <f t="shared" si="22"/>
        <v/>
      </c>
      <c r="CW385" s="88" t="str">
        <f t="shared" si="23"/>
        <v/>
      </c>
      <c r="CX385" s="7"/>
      <c r="CY385" s="7"/>
      <c r="CZ385" s="7"/>
      <c r="DA385" s="8"/>
      <c r="DU385" s="104" t="str">
        <f t="shared" si="24"/>
        <v/>
      </c>
      <c r="DV385" s="93" t="str">
        <f>ABA!$A385</f>
        <v/>
      </c>
      <c r="DW385" s="82" t="str">
        <f t="shared" si="25"/>
        <v/>
      </c>
    </row>
    <row r="386" ht="15.75" customHeight="1">
      <c r="A386" s="85"/>
      <c r="B386" s="107"/>
      <c r="C386" s="98"/>
      <c r="D386" s="98"/>
      <c r="E386" s="99"/>
      <c r="F386" s="98"/>
      <c r="G386" s="98"/>
      <c r="H386" s="98"/>
      <c r="I386" s="99"/>
      <c r="J386" s="98"/>
      <c r="K386" s="98"/>
      <c r="L386" s="98"/>
      <c r="M386" s="99"/>
      <c r="N386" s="98"/>
      <c r="O386" s="98"/>
      <c r="P386" s="98"/>
      <c r="Q386" s="99"/>
      <c r="R386" s="98"/>
      <c r="S386" s="98"/>
      <c r="T386" s="98"/>
      <c r="U386" s="99"/>
      <c r="V386" s="98"/>
      <c r="W386" s="98"/>
      <c r="X386" s="98"/>
      <c r="Y386" s="100"/>
      <c r="Z386" s="98"/>
      <c r="AA386" s="98"/>
      <c r="AB386" s="98"/>
      <c r="AC386" s="99"/>
      <c r="AD386" s="98"/>
      <c r="AE386" s="98"/>
      <c r="AF386" s="98"/>
      <c r="AG386" s="99"/>
      <c r="AH386" s="98"/>
      <c r="AI386" s="98"/>
      <c r="AJ386" s="98"/>
      <c r="AK386" s="99"/>
      <c r="AL386" s="98"/>
      <c r="AM386" s="98"/>
      <c r="AN386" s="98"/>
      <c r="AO386" s="98"/>
      <c r="AP386" s="84" t="str">
        <f t="shared" si="2"/>
        <v/>
      </c>
      <c r="AQ386" s="9"/>
      <c r="AR386" s="9"/>
      <c r="AS386" s="8"/>
      <c r="AT386" s="9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8"/>
      <c r="BX386" s="9"/>
      <c r="BY386" s="9"/>
      <c r="BZ386" s="9"/>
      <c r="CA386" s="33"/>
      <c r="CB386" s="85" t="str">
        <f t="shared" si="3"/>
        <v/>
      </c>
      <c r="CC386" s="86" t="str">
        <f t="shared" si="4"/>
        <v/>
      </c>
      <c r="CD386" s="86" t="str">
        <f t="shared" si="5"/>
        <v/>
      </c>
      <c r="CE386" s="86" t="str">
        <f t="shared" si="6"/>
        <v/>
      </c>
      <c r="CF386" s="86" t="str">
        <f t="shared" si="7"/>
        <v/>
      </c>
      <c r="CG386" s="86" t="str">
        <f t="shared" si="8"/>
        <v/>
      </c>
      <c r="CH386" s="86" t="str">
        <f t="shared" si="9"/>
        <v/>
      </c>
      <c r="CI386" s="86" t="str">
        <f t="shared" si="10"/>
        <v/>
      </c>
      <c r="CJ386" s="86" t="str">
        <f t="shared" si="11"/>
        <v/>
      </c>
      <c r="CK386" s="86" t="str">
        <f t="shared" si="12"/>
        <v/>
      </c>
      <c r="CL386" s="86" t="str">
        <f t="shared" si="13"/>
        <v/>
      </c>
      <c r="CM386" s="87" t="str">
        <f t="shared" si="14"/>
        <v/>
      </c>
      <c r="CN386" s="88" t="str">
        <f t="shared" si="26"/>
        <v/>
      </c>
      <c r="CO386" s="88" t="str">
        <f t="shared" si="15"/>
        <v/>
      </c>
      <c r="CP386" s="88" t="str">
        <f t="shared" si="16"/>
        <v/>
      </c>
      <c r="CQ386" s="88" t="str">
        <f t="shared" si="17"/>
        <v/>
      </c>
      <c r="CR386" s="88" t="str">
        <f t="shared" si="18"/>
        <v/>
      </c>
      <c r="CS386" s="88" t="str">
        <f t="shared" si="19"/>
        <v/>
      </c>
      <c r="CT386" s="88" t="str">
        <f t="shared" si="20"/>
        <v/>
      </c>
      <c r="CU386" s="88" t="str">
        <f t="shared" si="21"/>
        <v/>
      </c>
      <c r="CV386" s="88" t="str">
        <f t="shared" si="22"/>
        <v/>
      </c>
      <c r="CW386" s="88" t="str">
        <f t="shared" si="23"/>
        <v/>
      </c>
      <c r="CX386" s="7"/>
      <c r="CY386" s="7"/>
      <c r="CZ386" s="7"/>
      <c r="DA386" s="8"/>
      <c r="DU386" s="93" t="str">
        <f t="shared" si="24"/>
        <v/>
      </c>
      <c r="DV386" s="104" t="str">
        <f>ABA!$A386</f>
        <v/>
      </c>
      <c r="DW386" s="98" t="str">
        <f t="shared" si="25"/>
        <v/>
      </c>
    </row>
    <row r="387" ht="15.75" customHeight="1">
      <c r="A387" s="78"/>
      <c r="B387" s="105"/>
      <c r="C387" s="82"/>
      <c r="D387" s="82"/>
      <c r="E387" s="83"/>
      <c r="F387" s="82"/>
      <c r="G387" s="82"/>
      <c r="H387" s="82"/>
      <c r="I387" s="83"/>
      <c r="J387" s="82"/>
      <c r="K387" s="82"/>
      <c r="L387" s="82"/>
      <c r="M387" s="83"/>
      <c r="N387" s="82"/>
      <c r="O387" s="82"/>
      <c r="P387" s="82"/>
      <c r="Q387" s="83"/>
      <c r="R387" s="82"/>
      <c r="S387" s="82"/>
      <c r="T387" s="82"/>
      <c r="U387" s="83"/>
      <c r="V387" s="82"/>
      <c r="W387" s="82"/>
      <c r="X387" s="82"/>
      <c r="Y387" s="83"/>
      <c r="Z387" s="82"/>
      <c r="AA387" s="82"/>
      <c r="AB387" s="82"/>
      <c r="AC387" s="83"/>
      <c r="AD387" s="82"/>
      <c r="AE387" s="82"/>
      <c r="AF387" s="82"/>
      <c r="AG387" s="83"/>
      <c r="AH387" s="82"/>
      <c r="AI387" s="82"/>
      <c r="AJ387" s="82"/>
      <c r="AK387" s="83"/>
      <c r="AL387" s="82"/>
      <c r="AM387" s="82"/>
      <c r="AN387" s="82"/>
      <c r="AO387" s="82"/>
      <c r="AP387" s="84" t="str">
        <f t="shared" si="2"/>
        <v/>
      </c>
      <c r="AQ387" s="9"/>
      <c r="AR387" s="9"/>
      <c r="AS387" s="8"/>
      <c r="AT387" s="9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8"/>
      <c r="BX387" s="9"/>
      <c r="BY387" s="9"/>
      <c r="BZ387" s="9"/>
      <c r="CA387" s="33"/>
      <c r="CB387" s="85" t="str">
        <f t="shared" si="3"/>
        <v/>
      </c>
      <c r="CC387" s="86" t="str">
        <f t="shared" si="4"/>
        <v/>
      </c>
      <c r="CD387" s="86" t="str">
        <f t="shared" si="5"/>
        <v/>
      </c>
      <c r="CE387" s="86" t="str">
        <f t="shared" si="6"/>
        <v/>
      </c>
      <c r="CF387" s="86" t="str">
        <f t="shared" si="7"/>
        <v/>
      </c>
      <c r="CG387" s="86" t="str">
        <f t="shared" si="8"/>
        <v/>
      </c>
      <c r="CH387" s="86" t="str">
        <f t="shared" si="9"/>
        <v/>
      </c>
      <c r="CI387" s="86" t="str">
        <f t="shared" si="10"/>
        <v/>
      </c>
      <c r="CJ387" s="86" t="str">
        <f t="shared" si="11"/>
        <v/>
      </c>
      <c r="CK387" s="86" t="str">
        <f t="shared" si="12"/>
        <v/>
      </c>
      <c r="CL387" s="86" t="str">
        <f t="shared" si="13"/>
        <v/>
      </c>
      <c r="CM387" s="87" t="str">
        <f t="shared" si="14"/>
        <v/>
      </c>
      <c r="CN387" s="88" t="str">
        <f t="shared" si="26"/>
        <v/>
      </c>
      <c r="CO387" s="88" t="str">
        <f t="shared" si="15"/>
        <v/>
      </c>
      <c r="CP387" s="88" t="str">
        <f t="shared" si="16"/>
        <v/>
      </c>
      <c r="CQ387" s="88" t="str">
        <f t="shared" si="17"/>
        <v/>
      </c>
      <c r="CR387" s="88" t="str">
        <f t="shared" si="18"/>
        <v/>
      </c>
      <c r="CS387" s="88" t="str">
        <f t="shared" si="19"/>
        <v/>
      </c>
      <c r="CT387" s="88" t="str">
        <f t="shared" si="20"/>
        <v/>
      </c>
      <c r="CU387" s="88" t="str">
        <f t="shared" si="21"/>
        <v/>
      </c>
      <c r="CV387" s="88" t="str">
        <f t="shared" si="22"/>
        <v/>
      </c>
      <c r="CW387" s="88" t="str">
        <f t="shared" si="23"/>
        <v/>
      </c>
      <c r="CX387" s="7"/>
      <c r="CY387" s="7"/>
      <c r="CZ387" s="7"/>
      <c r="DA387" s="8"/>
      <c r="DU387" s="104" t="str">
        <f t="shared" si="24"/>
        <v/>
      </c>
      <c r="DV387" s="93" t="str">
        <f>ABA!$A387</f>
        <v/>
      </c>
      <c r="DW387" s="82" t="str">
        <f t="shared" si="25"/>
        <v/>
      </c>
    </row>
    <row r="388" ht="15.75" customHeight="1">
      <c r="A388" s="85"/>
      <c r="B388" s="107"/>
      <c r="C388" s="98"/>
      <c r="D388" s="98"/>
      <c r="E388" s="99"/>
      <c r="F388" s="98"/>
      <c r="G388" s="98"/>
      <c r="H388" s="98"/>
      <c r="I388" s="99"/>
      <c r="J388" s="98"/>
      <c r="K388" s="98"/>
      <c r="L388" s="98"/>
      <c r="M388" s="99"/>
      <c r="N388" s="98"/>
      <c r="O388" s="98"/>
      <c r="P388" s="98"/>
      <c r="Q388" s="99"/>
      <c r="R388" s="98"/>
      <c r="S388" s="98"/>
      <c r="T388" s="98"/>
      <c r="U388" s="99"/>
      <c r="V388" s="98"/>
      <c r="W388" s="98"/>
      <c r="X388" s="98"/>
      <c r="Y388" s="100"/>
      <c r="Z388" s="98"/>
      <c r="AA388" s="98"/>
      <c r="AB388" s="98"/>
      <c r="AC388" s="99"/>
      <c r="AD388" s="98"/>
      <c r="AE388" s="98"/>
      <c r="AF388" s="98"/>
      <c r="AG388" s="99"/>
      <c r="AH388" s="98"/>
      <c r="AI388" s="98"/>
      <c r="AJ388" s="98"/>
      <c r="AK388" s="99"/>
      <c r="AL388" s="98"/>
      <c r="AM388" s="98"/>
      <c r="AN388" s="98"/>
      <c r="AO388" s="98"/>
      <c r="AP388" s="84" t="str">
        <f t="shared" si="2"/>
        <v/>
      </c>
      <c r="AQ388" s="9"/>
      <c r="AR388" s="9"/>
      <c r="AS388" s="8"/>
      <c r="AT388" s="9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8"/>
      <c r="BX388" s="9"/>
      <c r="BY388" s="9"/>
      <c r="BZ388" s="9"/>
      <c r="CA388" s="33"/>
      <c r="CB388" s="85" t="str">
        <f t="shared" si="3"/>
        <v/>
      </c>
      <c r="CC388" s="86" t="str">
        <f t="shared" si="4"/>
        <v/>
      </c>
      <c r="CD388" s="86" t="str">
        <f t="shared" si="5"/>
        <v/>
      </c>
      <c r="CE388" s="86" t="str">
        <f t="shared" si="6"/>
        <v/>
      </c>
      <c r="CF388" s="86" t="str">
        <f t="shared" si="7"/>
        <v/>
      </c>
      <c r="CG388" s="86" t="str">
        <f t="shared" si="8"/>
        <v/>
      </c>
      <c r="CH388" s="86" t="str">
        <f t="shared" si="9"/>
        <v/>
      </c>
      <c r="CI388" s="86" t="str">
        <f t="shared" si="10"/>
        <v/>
      </c>
      <c r="CJ388" s="86" t="str">
        <f t="shared" si="11"/>
        <v/>
      </c>
      <c r="CK388" s="86" t="str">
        <f t="shared" si="12"/>
        <v/>
      </c>
      <c r="CL388" s="86" t="str">
        <f t="shared" si="13"/>
        <v/>
      </c>
      <c r="CM388" s="87" t="str">
        <f t="shared" si="14"/>
        <v/>
      </c>
      <c r="CN388" s="88" t="str">
        <f t="shared" si="26"/>
        <v/>
      </c>
      <c r="CO388" s="88" t="str">
        <f t="shared" si="15"/>
        <v/>
      </c>
      <c r="CP388" s="88" t="str">
        <f t="shared" si="16"/>
        <v/>
      </c>
      <c r="CQ388" s="88" t="str">
        <f t="shared" si="17"/>
        <v/>
      </c>
      <c r="CR388" s="88" t="str">
        <f t="shared" si="18"/>
        <v/>
      </c>
      <c r="CS388" s="88" t="str">
        <f t="shared" si="19"/>
        <v/>
      </c>
      <c r="CT388" s="88" t="str">
        <f t="shared" si="20"/>
        <v/>
      </c>
      <c r="CU388" s="88" t="str">
        <f t="shared" si="21"/>
        <v/>
      </c>
      <c r="CV388" s="88" t="str">
        <f t="shared" si="22"/>
        <v/>
      </c>
      <c r="CW388" s="88" t="str">
        <f t="shared" si="23"/>
        <v/>
      </c>
      <c r="CX388" s="7"/>
      <c r="CY388" s="7"/>
      <c r="CZ388" s="7"/>
      <c r="DA388" s="8"/>
      <c r="DU388" s="93" t="str">
        <f t="shared" si="24"/>
        <v/>
      </c>
      <c r="DV388" s="104" t="str">
        <f>ABA!$A388</f>
        <v/>
      </c>
      <c r="DW388" s="98" t="str">
        <f t="shared" si="25"/>
        <v/>
      </c>
    </row>
    <row r="389" ht="15.75" customHeight="1">
      <c r="A389" s="78"/>
      <c r="B389" s="105"/>
      <c r="C389" s="82"/>
      <c r="D389" s="82"/>
      <c r="E389" s="83"/>
      <c r="F389" s="82"/>
      <c r="G389" s="82"/>
      <c r="H389" s="82"/>
      <c r="I389" s="83"/>
      <c r="J389" s="82"/>
      <c r="K389" s="82"/>
      <c r="L389" s="82"/>
      <c r="M389" s="83"/>
      <c r="N389" s="82"/>
      <c r="O389" s="82"/>
      <c r="P389" s="82"/>
      <c r="Q389" s="83"/>
      <c r="R389" s="82"/>
      <c r="S389" s="82"/>
      <c r="T389" s="82"/>
      <c r="U389" s="83"/>
      <c r="V389" s="82"/>
      <c r="W389" s="82"/>
      <c r="X389" s="82"/>
      <c r="Y389" s="83"/>
      <c r="Z389" s="82"/>
      <c r="AA389" s="82"/>
      <c r="AB389" s="82"/>
      <c r="AC389" s="83"/>
      <c r="AD389" s="82"/>
      <c r="AE389" s="82"/>
      <c r="AF389" s="82"/>
      <c r="AG389" s="83"/>
      <c r="AH389" s="82"/>
      <c r="AI389" s="82"/>
      <c r="AJ389" s="82"/>
      <c r="AK389" s="83"/>
      <c r="AL389" s="82"/>
      <c r="AM389" s="82"/>
      <c r="AN389" s="82"/>
      <c r="AO389" s="82"/>
      <c r="AP389" s="84" t="str">
        <f t="shared" si="2"/>
        <v/>
      </c>
      <c r="AQ389" s="9"/>
      <c r="AR389" s="9"/>
      <c r="AS389" s="8"/>
      <c r="AT389" s="9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8"/>
      <c r="BX389" s="9"/>
      <c r="BY389" s="9"/>
      <c r="BZ389" s="9"/>
      <c r="CA389" s="33"/>
      <c r="CB389" s="85" t="str">
        <f t="shared" si="3"/>
        <v/>
      </c>
      <c r="CC389" s="86" t="str">
        <f t="shared" si="4"/>
        <v/>
      </c>
      <c r="CD389" s="86" t="str">
        <f t="shared" si="5"/>
        <v/>
      </c>
      <c r="CE389" s="86" t="str">
        <f t="shared" si="6"/>
        <v/>
      </c>
      <c r="CF389" s="86" t="str">
        <f t="shared" si="7"/>
        <v/>
      </c>
      <c r="CG389" s="86" t="str">
        <f t="shared" si="8"/>
        <v/>
      </c>
      <c r="CH389" s="86" t="str">
        <f t="shared" si="9"/>
        <v/>
      </c>
      <c r="CI389" s="86" t="str">
        <f t="shared" si="10"/>
        <v/>
      </c>
      <c r="CJ389" s="86" t="str">
        <f t="shared" si="11"/>
        <v/>
      </c>
      <c r="CK389" s="86" t="str">
        <f t="shared" si="12"/>
        <v/>
      </c>
      <c r="CL389" s="86" t="str">
        <f t="shared" si="13"/>
        <v/>
      </c>
      <c r="CM389" s="87" t="str">
        <f t="shared" si="14"/>
        <v/>
      </c>
      <c r="CN389" s="88" t="str">
        <f t="shared" si="26"/>
        <v/>
      </c>
      <c r="CO389" s="88" t="str">
        <f t="shared" si="15"/>
        <v/>
      </c>
      <c r="CP389" s="88" t="str">
        <f t="shared" si="16"/>
        <v/>
      </c>
      <c r="CQ389" s="88" t="str">
        <f t="shared" si="17"/>
        <v/>
      </c>
      <c r="CR389" s="88" t="str">
        <f t="shared" si="18"/>
        <v/>
      </c>
      <c r="CS389" s="88" t="str">
        <f t="shared" si="19"/>
        <v/>
      </c>
      <c r="CT389" s="88" t="str">
        <f t="shared" si="20"/>
        <v/>
      </c>
      <c r="CU389" s="88" t="str">
        <f t="shared" si="21"/>
        <v/>
      </c>
      <c r="CV389" s="88" t="str">
        <f t="shared" si="22"/>
        <v/>
      </c>
      <c r="CW389" s="88" t="str">
        <f t="shared" si="23"/>
        <v/>
      </c>
      <c r="CX389" s="7"/>
      <c r="CY389" s="7"/>
      <c r="CZ389" s="7"/>
      <c r="DA389" s="8"/>
      <c r="DU389" s="104" t="str">
        <f t="shared" si="24"/>
        <v/>
      </c>
      <c r="DV389" s="93" t="str">
        <f>ABA!$A389</f>
        <v/>
      </c>
      <c r="DW389" s="82" t="str">
        <f t="shared" si="25"/>
        <v/>
      </c>
    </row>
    <row r="390" ht="15.75" customHeight="1">
      <c r="A390" s="85"/>
      <c r="B390" s="107"/>
      <c r="C390" s="98"/>
      <c r="D390" s="98"/>
      <c r="E390" s="99"/>
      <c r="F390" s="98"/>
      <c r="G390" s="98"/>
      <c r="H390" s="98"/>
      <c r="I390" s="99"/>
      <c r="J390" s="98"/>
      <c r="K390" s="98"/>
      <c r="L390" s="98"/>
      <c r="M390" s="99"/>
      <c r="N390" s="98"/>
      <c r="O390" s="98"/>
      <c r="P390" s="98"/>
      <c r="Q390" s="99"/>
      <c r="R390" s="98"/>
      <c r="S390" s="98"/>
      <c r="T390" s="98"/>
      <c r="U390" s="99"/>
      <c r="V390" s="98"/>
      <c r="W390" s="98"/>
      <c r="X390" s="98"/>
      <c r="Y390" s="100"/>
      <c r="Z390" s="98"/>
      <c r="AA390" s="98"/>
      <c r="AB390" s="98"/>
      <c r="AC390" s="99"/>
      <c r="AD390" s="98"/>
      <c r="AE390" s="98"/>
      <c r="AF390" s="98"/>
      <c r="AG390" s="99"/>
      <c r="AH390" s="98"/>
      <c r="AI390" s="98"/>
      <c r="AJ390" s="98"/>
      <c r="AK390" s="99"/>
      <c r="AL390" s="98"/>
      <c r="AM390" s="98"/>
      <c r="AN390" s="98"/>
      <c r="AO390" s="98"/>
      <c r="AP390" s="84" t="str">
        <f t="shared" si="2"/>
        <v/>
      </c>
      <c r="AQ390" s="9"/>
      <c r="AR390" s="9"/>
      <c r="AS390" s="8"/>
      <c r="AT390" s="9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8"/>
      <c r="BX390" s="9"/>
      <c r="BY390" s="9"/>
      <c r="BZ390" s="9"/>
      <c r="CA390" s="33"/>
      <c r="CB390" s="85" t="str">
        <f t="shared" si="3"/>
        <v/>
      </c>
      <c r="CC390" s="86" t="str">
        <f t="shared" si="4"/>
        <v/>
      </c>
      <c r="CD390" s="86" t="str">
        <f t="shared" si="5"/>
        <v/>
      </c>
      <c r="CE390" s="86" t="str">
        <f t="shared" si="6"/>
        <v/>
      </c>
      <c r="CF390" s="86" t="str">
        <f t="shared" si="7"/>
        <v/>
      </c>
      <c r="CG390" s="86" t="str">
        <f t="shared" si="8"/>
        <v/>
      </c>
      <c r="CH390" s="86" t="str">
        <f t="shared" si="9"/>
        <v/>
      </c>
      <c r="CI390" s="86" t="str">
        <f t="shared" si="10"/>
        <v/>
      </c>
      <c r="CJ390" s="86" t="str">
        <f t="shared" si="11"/>
        <v/>
      </c>
      <c r="CK390" s="86" t="str">
        <f t="shared" si="12"/>
        <v/>
      </c>
      <c r="CL390" s="86" t="str">
        <f t="shared" si="13"/>
        <v/>
      </c>
      <c r="CM390" s="87" t="str">
        <f t="shared" si="14"/>
        <v/>
      </c>
      <c r="CN390" s="88" t="str">
        <f t="shared" si="26"/>
        <v/>
      </c>
      <c r="CO390" s="88" t="str">
        <f t="shared" si="15"/>
        <v/>
      </c>
      <c r="CP390" s="88" t="str">
        <f t="shared" si="16"/>
        <v/>
      </c>
      <c r="CQ390" s="88" t="str">
        <f t="shared" si="17"/>
        <v/>
      </c>
      <c r="CR390" s="88" t="str">
        <f t="shared" si="18"/>
        <v/>
      </c>
      <c r="CS390" s="88" t="str">
        <f t="shared" si="19"/>
        <v/>
      </c>
      <c r="CT390" s="88" t="str">
        <f t="shared" si="20"/>
        <v/>
      </c>
      <c r="CU390" s="88" t="str">
        <f t="shared" si="21"/>
        <v/>
      </c>
      <c r="CV390" s="88" t="str">
        <f t="shared" si="22"/>
        <v/>
      </c>
      <c r="CW390" s="88" t="str">
        <f t="shared" si="23"/>
        <v/>
      </c>
      <c r="CX390" s="7"/>
      <c r="CY390" s="7"/>
      <c r="CZ390" s="7"/>
      <c r="DA390" s="8"/>
      <c r="DU390" s="93" t="str">
        <f t="shared" si="24"/>
        <v/>
      </c>
      <c r="DV390" s="104" t="str">
        <f>ABA!$A390</f>
        <v/>
      </c>
      <c r="DW390" s="98" t="str">
        <f t="shared" si="25"/>
        <v/>
      </c>
    </row>
    <row r="391" ht="15.75" customHeight="1">
      <c r="A391" s="78"/>
      <c r="B391" s="105"/>
      <c r="C391" s="82"/>
      <c r="D391" s="82"/>
      <c r="E391" s="83"/>
      <c r="F391" s="82"/>
      <c r="G391" s="82"/>
      <c r="H391" s="82"/>
      <c r="I391" s="83"/>
      <c r="J391" s="82"/>
      <c r="K391" s="82"/>
      <c r="L391" s="82"/>
      <c r="M391" s="83"/>
      <c r="N391" s="82"/>
      <c r="O391" s="82"/>
      <c r="P391" s="82"/>
      <c r="Q391" s="83"/>
      <c r="R391" s="82"/>
      <c r="S391" s="82"/>
      <c r="T391" s="82"/>
      <c r="U391" s="83"/>
      <c r="V391" s="82"/>
      <c r="W391" s="82"/>
      <c r="X391" s="82"/>
      <c r="Y391" s="83"/>
      <c r="Z391" s="82"/>
      <c r="AA391" s="82"/>
      <c r="AB391" s="82"/>
      <c r="AC391" s="83"/>
      <c r="AD391" s="82"/>
      <c r="AE391" s="82"/>
      <c r="AF391" s="82"/>
      <c r="AG391" s="83"/>
      <c r="AH391" s="82"/>
      <c r="AI391" s="82"/>
      <c r="AJ391" s="82"/>
      <c r="AK391" s="83"/>
      <c r="AL391" s="82"/>
      <c r="AM391" s="82"/>
      <c r="AN391" s="82"/>
      <c r="AO391" s="82"/>
      <c r="AP391" s="84" t="str">
        <f t="shared" si="2"/>
        <v/>
      </c>
      <c r="AQ391" s="9"/>
      <c r="AR391" s="9"/>
      <c r="AS391" s="8"/>
      <c r="AT391" s="9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8"/>
      <c r="BX391" s="9"/>
      <c r="BY391" s="9"/>
      <c r="BZ391" s="9"/>
      <c r="CA391" s="33"/>
      <c r="CB391" s="85" t="str">
        <f t="shared" si="3"/>
        <v/>
      </c>
      <c r="CC391" s="86" t="str">
        <f t="shared" si="4"/>
        <v/>
      </c>
      <c r="CD391" s="86" t="str">
        <f t="shared" si="5"/>
        <v/>
      </c>
      <c r="CE391" s="86" t="str">
        <f t="shared" si="6"/>
        <v/>
      </c>
      <c r="CF391" s="86" t="str">
        <f t="shared" si="7"/>
        <v/>
      </c>
      <c r="CG391" s="86" t="str">
        <f t="shared" si="8"/>
        <v/>
      </c>
      <c r="CH391" s="86" t="str">
        <f t="shared" si="9"/>
        <v/>
      </c>
      <c r="CI391" s="86" t="str">
        <f t="shared" si="10"/>
        <v/>
      </c>
      <c r="CJ391" s="86" t="str">
        <f t="shared" si="11"/>
        <v/>
      </c>
      <c r="CK391" s="86" t="str">
        <f t="shared" si="12"/>
        <v/>
      </c>
      <c r="CL391" s="86" t="str">
        <f t="shared" si="13"/>
        <v/>
      </c>
      <c r="CM391" s="87" t="str">
        <f t="shared" si="14"/>
        <v/>
      </c>
      <c r="CN391" s="88" t="str">
        <f t="shared" si="26"/>
        <v/>
      </c>
      <c r="CO391" s="88" t="str">
        <f t="shared" si="15"/>
        <v/>
      </c>
      <c r="CP391" s="88" t="str">
        <f t="shared" si="16"/>
        <v/>
      </c>
      <c r="CQ391" s="88" t="str">
        <f t="shared" si="17"/>
        <v/>
      </c>
      <c r="CR391" s="88" t="str">
        <f t="shared" si="18"/>
        <v/>
      </c>
      <c r="CS391" s="88" t="str">
        <f t="shared" si="19"/>
        <v/>
      </c>
      <c r="CT391" s="88" t="str">
        <f t="shared" si="20"/>
        <v/>
      </c>
      <c r="CU391" s="88" t="str">
        <f t="shared" si="21"/>
        <v/>
      </c>
      <c r="CV391" s="88" t="str">
        <f t="shared" si="22"/>
        <v/>
      </c>
      <c r="CW391" s="88" t="str">
        <f t="shared" si="23"/>
        <v/>
      </c>
      <c r="CX391" s="7"/>
      <c r="CY391" s="7"/>
      <c r="CZ391" s="7"/>
      <c r="DA391" s="8"/>
      <c r="DU391" s="93" t="str">
        <f t="shared" si="24"/>
        <v/>
      </c>
      <c r="DV391" s="93" t="str">
        <f>ABA!$A391</f>
        <v/>
      </c>
      <c r="DW391" s="82" t="str">
        <f t="shared" si="25"/>
        <v/>
      </c>
    </row>
    <row r="392" ht="15.75" customHeight="1">
      <c r="A392" s="85"/>
      <c r="B392" s="107"/>
      <c r="C392" s="98"/>
      <c r="D392" s="98"/>
      <c r="E392" s="99"/>
      <c r="F392" s="98"/>
      <c r="G392" s="98"/>
      <c r="H392" s="98"/>
      <c r="I392" s="99"/>
      <c r="J392" s="98"/>
      <c r="K392" s="98"/>
      <c r="L392" s="98"/>
      <c r="M392" s="99"/>
      <c r="N392" s="98"/>
      <c r="O392" s="98"/>
      <c r="P392" s="98"/>
      <c r="Q392" s="99"/>
      <c r="R392" s="98"/>
      <c r="S392" s="98"/>
      <c r="T392" s="98"/>
      <c r="U392" s="99"/>
      <c r="V392" s="98"/>
      <c r="W392" s="98"/>
      <c r="X392" s="98"/>
      <c r="Y392" s="100"/>
      <c r="Z392" s="98"/>
      <c r="AA392" s="98"/>
      <c r="AB392" s="98"/>
      <c r="AC392" s="99"/>
      <c r="AD392" s="98"/>
      <c r="AE392" s="98"/>
      <c r="AF392" s="98"/>
      <c r="AG392" s="99"/>
      <c r="AH392" s="98"/>
      <c r="AI392" s="98"/>
      <c r="AJ392" s="98"/>
      <c r="AK392" s="99"/>
      <c r="AL392" s="98"/>
      <c r="AM392" s="98"/>
      <c r="AN392" s="98"/>
      <c r="AO392" s="98"/>
      <c r="AP392" s="84" t="str">
        <f t="shared" si="2"/>
        <v/>
      </c>
      <c r="AQ392" s="9"/>
      <c r="AR392" s="9"/>
      <c r="AS392" s="8"/>
      <c r="AT392" s="9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8"/>
      <c r="BX392" s="9"/>
      <c r="BY392" s="9"/>
      <c r="BZ392" s="9"/>
      <c r="CA392" s="33"/>
      <c r="CB392" s="85" t="str">
        <f t="shared" si="3"/>
        <v/>
      </c>
      <c r="CC392" s="86" t="str">
        <f t="shared" si="4"/>
        <v/>
      </c>
      <c r="CD392" s="86" t="str">
        <f t="shared" si="5"/>
        <v/>
      </c>
      <c r="CE392" s="86" t="str">
        <f t="shared" si="6"/>
        <v/>
      </c>
      <c r="CF392" s="86" t="str">
        <f t="shared" si="7"/>
        <v/>
      </c>
      <c r="CG392" s="86" t="str">
        <f t="shared" si="8"/>
        <v/>
      </c>
      <c r="CH392" s="86" t="str">
        <f t="shared" si="9"/>
        <v/>
      </c>
      <c r="CI392" s="86" t="str">
        <f t="shared" si="10"/>
        <v/>
      </c>
      <c r="CJ392" s="86" t="str">
        <f t="shared" si="11"/>
        <v/>
      </c>
      <c r="CK392" s="86" t="str">
        <f t="shared" si="12"/>
        <v/>
      </c>
      <c r="CL392" s="86" t="str">
        <f t="shared" si="13"/>
        <v/>
      </c>
      <c r="CM392" s="87" t="str">
        <f t="shared" si="14"/>
        <v/>
      </c>
      <c r="CN392" s="88" t="str">
        <f t="shared" si="26"/>
        <v/>
      </c>
      <c r="CO392" s="88" t="str">
        <f t="shared" si="15"/>
        <v/>
      </c>
      <c r="CP392" s="88" t="str">
        <f t="shared" si="16"/>
        <v/>
      </c>
      <c r="CQ392" s="88" t="str">
        <f t="shared" si="17"/>
        <v/>
      </c>
      <c r="CR392" s="88" t="str">
        <f t="shared" si="18"/>
        <v/>
      </c>
      <c r="CS392" s="88" t="str">
        <f t="shared" si="19"/>
        <v/>
      </c>
      <c r="CT392" s="88" t="str">
        <f t="shared" si="20"/>
        <v/>
      </c>
      <c r="CU392" s="88" t="str">
        <f t="shared" si="21"/>
        <v/>
      </c>
      <c r="CV392" s="88" t="str">
        <f t="shared" si="22"/>
        <v/>
      </c>
      <c r="CW392" s="88" t="str">
        <f t="shared" si="23"/>
        <v/>
      </c>
      <c r="CX392" s="7"/>
      <c r="CY392" s="7"/>
      <c r="CZ392" s="7"/>
      <c r="DA392" s="8"/>
      <c r="DU392" s="104" t="str">
        <f t="shared" si="24"/>
        <v/>
      </c>
      <c r="DV392" s="104" t="str">
        <f>ABA!$A392</f>
        <v/>
      </c>
      <c r="DW392" s="98" t="str">
        <f t="shared" si="25"/>
        <v/>
      </c>
    </row>
    <row r="393" ht="15.75" customHeight="1">
      <c r="A393" s="78"/>
      <c r="B393" s="105"/>
      <c r="C393" s="82"/>
      <c r="D393" s="82"/>
      <c r="E393" s="83"/>
      <c r="F393" s="82"/>
      <c r="G393" s="82"/>
      <c r="H393" s="82"/>
      <c r="I393" s="83"/>
      <c r="J393" s="82"/>
      <c r="K393" s="82"/>
      <c r="L393" s="82"/>
      <c r="M393" s="83"/>
      <c r="N393" s="82"/>
      <c r="O393" s="82"/>
      <c r="P393" s="82"/>
      <c r="Q393" s="83"/>
      <c r="R393" s="82"/>
      <c r="S393" s="82"/>
      <c r="T393" s="82"/>
      <c r="U393" s="83"/>
      <c r="V393" s="82"/>
      <c r="W393" s="82"/>
      <c r="X393" s="82"/>
      <c r="Y393" s="83"/>
      <c r="Z393" s="82"/>
      <c r="AA393" s="82"/>
      <c r="AB393" s="82"/>
      <c r="AC393" s="83"/>
      <c r="AD393" s="82"/>
      <c r="AE393" s="82"/>
      <c r="AF393" s="82"/>
      <c r="AG393" s="83"/>
      <c r="AH393" s="82"/>
      <c r="AI393" s="82"/>
      <c r="AJ393" s="82"/>
      <c r="AK393" s="83"/>
      <c r="AL393" s="82"/>
      <c r="AM393" s="82"/>
      <c r="AN393" s="82"/>
      <c r="AO393" s="82"/>
      <c r="AP393" s="84" t="str">
        <f t="shared" si="2"/>
        <v/>
      </c>
      <c r="AQ393" s="9"/>
      <c r="AR393" s="9"/>
      <c r="AS393" s="8"/>
      <c r="AT393" s="9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8"/>
      <c r="BX393" s="9"/>
      <c r="BY393" s="9"/>
      <c r="BZ393" s="9"/>
      <c r="CA393" s="33"/>
      <c r="CB393" s="85" t="str">
        <f t="shared" si="3"/>
        <v/>
      </c>
      <c r="CC393" s="86" t="str">
        <f t="shared" si="4"/>
        <v/>
      </c>
      <c r="CD393" s="86" t="str">
        <f t="shared" si="5"/>
        <v/>
      </c>
      <c r="CE393" s="86" t="str">
        <f t="shared" si="6"/>
        <v/>
      </c>
      <c r="CF393" s="86" t="str">
        <f t="shared" si="7"/>
        <v/>
      </c>
      <c r="CG393" s="86" t="str">
        <f t="shared" si="8"/>
        <v/>
      </c>
      <c r="CH393" s="86" t="str">
        <f t="shared" si="9"/>
        <v/>
      </c>
      <c r="CI393" s="86" t="str">
        <f t="shared" si="10"/>
        <v/>
      </c>
      <c r="CJ393" s="86" t="str">
        <f t="shared" si="11"/>
        <v/>
      </c>
      <c r="CK393" s="86" t="str">
        <f t="shared" si="12"/>
        <v/>
      </c>
      <c r="CL393" s="86" t="str">
        <f t="shared" si="13"/>
        <v/>
      </c>
      <c r="CM393" s="87" t="str">
        <f t="shared" si="14"/>
        <v/>
      </c>
      <c r="CN393" s="88" t="str">
        <f t="shared" si="26"/>
        <v/>
      </c>
      <c r="CO393" s="88" t="str">
        <f t="shared" si="15"/>
        <v/>
      </c>
      <c r="CP393" s="88" t="str">
        <f t="shared" si="16"/>
        <v/>
      </c>
      <c r="CQ393" s="88" t="str">
        <f t="shared" si="17"/>
        <v/>
      </c>
      <c r="CR393" s="88" t="str">
        <f t="shared" si="18"/>
        <v/>
      </c>
      <c r="CS393" s="88" t="str">
        <f t="shared" si="19"/>
        <v/>
      </c>
      <c r="CT393" s="88" t="str">
        <f t="shared" si="20"/>
        <v/>
      </c>
      <c r="CU393" s="88" t="str">
        <f t="shared" si="21"/>
        <v/>
      </c>
      <c r="CV393" s="88" t="str">
        <f t="shared" si="22"/>
        <v/>
      </c>
      <c r="CW393" s="88" t="str">
        <f t="shared" si="23"/>
        <v/>
      </c>
      <c r="CX393" s="7"/>
      <c r="CY393" s="7"/>
      <c r="CZ393" s="7"/>
      <c r="DA393" s="8"/>
      <c r="DU393" s="93" t="str">
        <f t="shared" si="24"/>
        <v/>
      </c>
      <c r="DV393" s="93" t="str">
        <f>ABA!$A393</f>
        <v/>
      </c>
      <c r="DW393" s="82" t="str">
        <f t="shared" si="25"/>
        <v/>
      </c>
    </row>
    <row r="394" ht="15.75" customHeight="1">
      <c r="A394" s="85"/>
      <c r="B394" s="107"/>
      <c r="C394" s="98"/>
      <c r="D394" s="98"/>
      <c r="E394" s="99"/>
      <c r="F394" s="98"/>
      <c r="G394" s="98"/>
      <c r="H394" s="98"/>
      <c r="I394" s="99"/>
      <c r="J394" s="98"/>
      <c r="K394" s="98"/>
      <c r="L394" s="98"/>
      <c r="M394" s="99"/>
      <c r="N394" s="98"/>
      <c r="O394" s="98"/>
      <c r="P394" s="98"/>
      <c r="Q394" s="99"/>
      <c r="R394" s="98"/>
      <c r="S394" s="98"/>
      <c r="T394" s="98"/>
      <c r="U394" s="99"/>
      <c r="V394" s="98"/>
      <c r="W394" s="98"/>
      <c r="X394" s="98"/>
      <c r="Y394" s="100"/>
      <c r="Z394" s="98"/>
      <c r="AA394" s="98"/>
      <c r="AB394" s="98"/>
      <c r="AC394" s="99"/>
      <c r="AD394" s="98"/>
      <c r="AE394" s="98"/>
      <c r="AF394" s="98"/>
      <c r="AG394" s="99"/>
      <c r="AH394" s="98"/>
      <c r="AI394" s="98"/>
      <c r="AJ394" s="98"/>
      <c r="AK394" s="99"/>
      <c r="AL394" s="98"/>
      <c r="AM394" s="98"/>
      <c r="AN394" s="98"/>
      <c r="AO394" s="98"/>
      <c r="AP394" s="84" t="str">
        <f t="shared" si="2"/>
        <v/>
      </c>
      <c r="AQ394" s="9"/>
      <c r="AR394" s="9"/>
      <c r="AS394" s="8"/>
      <c r="AT394" s="9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8"/>
      <c r="BX394" s="9"/>
      <c r="BY394" s="9"/>
      <c r="BZ394" s="9"/>
      <c r="CA394" s="33"/>
      <c r="CB394" s="85" t="str">
        <f t="shared" si="3"/>
        <v/>
      </c>
      <c r="CC394" s="86" t="str">
        <f t="shared" si="4"/>
        <v/>
      </c>
      <c r="CD394" s="86" t="str">
        <f t="shared" si="5"/>
        <v/>
      </c>
      <c r="CE394" s="86" t="str">
        <f t="shared" si="6"/>
        <v/>
      </c>
      <c r="CF394" s="86" t="str">
        <f t="shared" si="7"/>
        <v/>
      </c>
      <c r="CG394" s="86" t="str">
        <f t="shared" si="8"/>
        <v/>
      </c>
      <c r="CH394" s="86" t="str">
        <f t="shared" si="9"/>
        <v/>
      </c>
      <c r="CI394" s="86" t="str">
        <f t="shared" si="10"/>
        <v/>
      </c>
      <c r="CJ394" s="86" t="str">
        <f t="shared" si="11"/>
        <v/>
      </c>
      <c r="CK394" s="86" t="str">
        <f t="shared" si="12"/>
        <v/>
      </c>
      <c r="CL394" s="86" t="str">
        <f t="shared" si="13"/>
        <v/>
      </c>
      <c r="CM394" s="87" t="str">
        <f t="shared" si="14"/>
        <v/>
      </c>
      <c r="CN394" s="88" t="str">
        <f t="shared" si="26"/>
        <v/>
      </c>
      <c r="CO394" s="88" t="str">
        <f t="shared" si="15"/>
        <v/>
      </c>
      <c r="CP394" s="88" t="str">
        <f t="shared" si="16"/>
        <v/>
      </c>
      <c r="CQ394" s="88" t="str">
        <f t="shared" si="17"/>
        <v/>
      </c>
      <c r="CR394" s="88" t="str">
        <f t="shared" si="18"/>
        <v/>
      </c>
      <c r="CS394" s="88" t="str">
        <f t="shared" si="19"/>
        <v/>
      </c>
      <c r="CT394" s="88" t="str">
        <f t="shared" si="20"/>
        <v/>
      </c>
      <c r="CU394" s="88" t="str">
        <f t="shared" si="21"/>
        <v/>
      </c>
      <c r="CV394" s="88" t="str">
        <f t="shared" si="22"/>
        <v/>
      </c>
      <c r="CW394" s="88" t="str">
        <f t="shared" si="23"/>
        <v/>
      </c>
      <c r="CX394" s="7"/>
      <c r="CY394" s="7"/>
      <c r="CZ394" s="7"/>
      <c r="DA394" s="8"/>
      <c r="DU394" s="104" t="str">
        <f t="shared" si="24"/>
        <v/>
      </c>
      <c r="DV394" s="104" t="str">
        <f>ABA!$A394</f>
        <v/>
      </c>
      <c r="DW394" s="98" t="str">
        <f t="shared" si="25"/>
        <v/>
      </c>
    </row>
    <row r="395" ht="15.75" customHeight="1">
      <c r="A395" s="78"/>
      <c r="B395" s="105"/>
      <c r="C395" s="82"/>
      <c r="D395" s="82"/>
      <c r="E395" s="83"/>
      <c r="F395" s="82"/>
      <c r="G395" s="82"/>
      <c r="H395" s="82"/>
      <c r="I395" s="83"/>
      <c r="J395" s="82"/>
      <c r="K395" s="82"/>
      <c r="L395" s="82"/>
      <c r="M395" s="83"/>
      <c r="N395" s="82"/>
      <c r="O395" s="82"/>
      <c r="P395" s="82"/>
      <c r="Q395" s="83"/>
      <c r="R395" s="82"/>
      <c r="S395" s="82"/>
      <c r="T395" s="82"/>
      <c r="U395" s="83"/>
      <c r="V395" s="82"/>
      <c r="W395" s="82"/>
      <c r="X395" s="82"/>
      <c r="Y395" s="83"/>
      <c r="Z395" s="82"/>
      <c r="AA395" s="82"/>
      <c r="AB395" s="82"/>
      <c r="AC395" s="83"/>
      <c r="AD395" s="82"/>
      <c r="AE395" s="82"/>
      <c r="AF395" s="82"/>
      <c r="AG395" s="83"/>
      <c r="AH395" s="82"/>
      <c r="AI395" s="82"/>
      <c r="AJ395" s="82"/>
      <c r="AK395" s="83"/>
      <c r="AL395" s="82"/>
      <c r="AM395" s="82"/>
      <c r="AN395" s="82"/>
      <c r="AO395" s="82"/>
      <c r="AP395" s="84" t="str">
        <f t="shared" si="2"/>
        <v/>
      </c>
      <c r="AQ395" s="9"/>
      <c r="AR395" s="9"/>
      <c r="AS395" s="8"/>
      <c r="AT395" s="9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8"/>
      <c r="BX395" s="9"/>
      <c r="BY395" s="9"/>
      <c r="BZ395" s="9"/>
      <c r="CA395" s="33"/>
      <c r="CB395" s="85" t="str">
        <f t="shared" si="3"/>
        <v/>
      </c>
      <c r="CC395" s="86" t="str">
        <f t="shared" si="4"/>
        <v/>
      </c>
      <c r="CD395" s="86" t="str">
        <f t="shared" si="5"/>
        <v/>
      </c>
      <c r="CE395" s="86" t="str">
        <f t="shared" si="6"/>
        <v/>
      </c>
      <c r="CF395" s="86" t="str">
        <f t="shared" si="7"/>
        <v/>
      </c>
      <c r="CG395" s="86" t="str">
        <f t="shared" si="8"/>
        <v/>
      </c>
      <c r="CH395" s="86" t="str">
        <f t="shared" si="9"/>
        <v/>
      </c>
      <c r="CI395" s="86" t="str">
        <f t="shared" si="10"/>
        <v/>
      </c>
      <c r="CJ395" s="86" t="str">
        <f t="shared" si="11"/>
        <v/>
      </c>
      <c r="CK395" s="86" t="str">
        <f t="shared" si="12"/>
        <v/>
      </c>
      <c r="CL395" s="86" t="str">
        <f t="shared" si="13"/>
        <v/>
      </c>
      <c r="CM395" s="87" t="str">
        <f t="shared" si="14"/>
        <v/>
      </c>
      <c r="CN395" s="88" t="str">
        <f t="shared" si="26"/>
        <v/>
      </c>
      <c r="CO395" s="88" t="str">
        <f t="shared" si="15"/>
        <v/>
      </c>
      <c r="CP395" s="88" t="str">
        <f t="shared" si="16"/>
        <v/>
      </c>
      <c r="CQ395" s="88" t="str">
        <f t="shared" si="17"/>
        <v/>
      </c>
      <c r="CR395" s="88" t="str">
        <f t="shared" si="18"/>
        <v/>
      </c>
      <c r="CS395" s="88" t="str">
        <f t="shared" si="19"/>
        <v/>
      </c>
      <c r="CT395" s="88" t="str">
        <f t="shared" si="20"/>
        <v/>
      </c>
      <c r="CU395" s="88" t="str">
        <f t="shared" si="21"/>
        <v/>
      </c>
      <c r="CV395" s="88" t="str">
        <f t="shared" si="22"/>
        <v/>
      </c>
      <c r="CW395" s="88" t="str">
        <f t="shared" si="23"/>
        <v/>
      </c>
      <c r="CX395" s="7"/>
      <c r="CY395" s="7"/>
      <c r="CZ395" s="7"/>
      <c r="DA395" s="8"/>
      <c r="DU395" s="93" t="str">
        <f t="shared" si="24"/>
        <v/>
      </c>
      <c r="DV395" s="93" t="str">
        <f>ABA!$A395</f>
        <v/>
      </c>
      <c r="DW395" s="82" t="str">
        <f t="shared" si="25"/>
        <v/>
      </c>
    </row>
    <row r="396" ht="15.75" customHeight="1">
      <c r="A396" s="85"/>
      <c r="B396" s="107"/>
      <c r="C396" s="98"/>
      <c r="D396" s="98"/>
      <c r="E396" s="99"/>
      <c r="F396" s="98"/>
      <c r="G396" s="98"/>
      <c r="H396" s="98"/>
      <c r="I396" s="99"/>
      <c r="J396" s="98"/>
      <c r="K396" s="98"/>
      <c r="L396" s="98"/>
      <c r="M396" s="99"/>
      <c r="N396" s="98"/>
      <c r="O396" s="98"/>
      <c r="P396" s="98"/>
      <c r="Q396" s="99"/>
      <c r="R396" s="98"/>
      <c r="S396" s="98"/>
      <c r="T396" s="98"/>
      <c r="U396" s="99"/>
      <c r="V396" s="98"/>
      <c r="W396" s="98"/>
      <c r="X396" s="98"/>
      <c r="Y396" s="100"/>
      <c r="Z396" s="98"/>
      <c r="AA396" s="98"/>
      <c r="AB396" s="98"/>
      <c r="AC396" s="99"/>
      <c r="AD396" s="98"/>
      <c r="AE396" s="98"/>
      <c r="AF396" s="98"/>
      <c r="AG396" s="99"/>
      <c r="AH396" s="98"/>
      <c r="AI396" s="98"/>
      <c r="AJ396" s="98"/>
      <c r="AK396" s="99"/>
      <c r="AL396" s="98"/>
      <c r="AM396" s="98"/>
      <c r="AN396" s="98"/>
      <c r="AO396" s="98"/>
      <c r="AP396" s="84" t="str">
        <f t="shared" si="2"/>
        <v/>
      </c>
      <c r="AQ396" s="9"/>
      <c r="AR396" s="9"/>
      <c r="AS396" s="8"/>
      <c r="AT396" s="9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8"/>
      <c r="BX396" s="9"/>
      <c r="BY396" s="9"/>
      <c r="BZ396" s="9"/>
      <c r="CA396" s="33"/>
      <c r="CB396" s="85" t="str">
        <f t="shared" si="3"/>
        <v/>
      </c>
      <c r="CC396" s="86" t="str">
        <f t="shared" si="4"/>
        <v/>
      </c>
      <c r="CD396" s="86" t="str">
        <f t="shared" si="5"/>
        <v/>
      </c>
      <c r="CE396" s="86" t="str">
        <f t="shared" si="6"/>
        <v/>
      </c>
      <c r="CF396" s="86" t="str">
        <f t="shared" si="7"/>
        <v/>
      </c>
      <c r="CG396" s="86" t="str">
        <f t="shared" si="8"/>
        <v/>
      </c>
      <c r="CH396" s="86" t="str">
        <f t="shared" si="9"/>
        <v/>
      </c>
      <c r="CI396" s="86" t="str">
        <f t="shared" si="10"/>
        <v/>
      </c>
      <c r="CJ396" s="86" t="str">
        <f t="shared" si="11"/>
        <v/>
      </c>
      <c r="CK396" s="86" t="str">
        <f t="shared" si="12"/>
        <v/>
      </c>
      <c r="CL396" s="86" t="str">
        <f t="shared" si="13"/>
        <v/>
      </c>
      <c r="CM396" s="87" t="str">
        <f t="shared" si="14"/>
        <v/>
      </c>
      <c r="CN396" s="88" t="str">
        <f t="shared" si="26"/>
        <v/>
      </c>
      <c r="CO396" s="88" t="str">
        <f t="shared" si="15"/>
        <v/>
      </c>
      <c r="CP396" s="88" t="str">
        <f t="shared" si="16"/>
        <v/>
      </c>
      <c r="CQ396" s="88" t="str">
        <f t="shared" si="17"/>
        <v/>
      </c>
      <c r="CR396" s="88" t="str">
        <f t="shared" si="18"/>
        <v/>
      </c>
      <c r="CS396" s="88" t="str">
        <f t="shared" si="19"/>
        <v/>
      </c>
      <c r="CT396" s="88" t="str">
        <f t="shared" si="20"/>
        <v/>
      </c>
      <c r="CU396" s="88" t="str">
        <f t="shared" si="21"/>
        <v/>
      </c>
      <c r="CV396" s="88" t="str">
        <f t="shared" si="22"/>
        <v/>
      </c>
      <c r="CW396" s="88" t="str">
        <f t="shared" si="23"/>
        <v/>
      </c>
      <c r="CX396" s="7"/>
      <c r="CY396" s="7"/>
      <c r="CZ396" s="7"/>
      <c r="DA396" s="8"/>
      <c r="DU396" s="104" t="str">
        <f t="shared" si="24"/>
        <v/>
      </c>
      <c r="DV396" s="104" t="str">
        <f>ABA!$A396</f>
        <v/>
      </c>
      <c r="DW396" s="98" t="str">
        <f t="shared" si="25"/>
        <v/>
      </c>
    </row>
    <row r="397" ht="15.75" customHeight="1">
      <c r="A397" s="78"/>
      <c r="B397" s="105"/>
      <c r="C397" s="82"/>
      <c r="D397" s="82"/>
      <c r="E397" s="83"/>
      <c r="F397" s="82"/>
      <c r="G397" s="82"/>
      <c r="H397" s="82"/>
      <c r="I397" s="83"/>
      <c r="J397" s="82"/>
      <c r="K397" s="82"/>
      <c r="L397" s="82"/>
      <c r="M397" s="83"/>
      <c r="N397" s="82"/>
      <c r="O397" s="82"/>
      <c r="P397" s="82"/>
      <c r="Q397" s="83"/>
      <c r="R397" s="82"/>
      <c r="S397" s="82"/>
      <c r="T397" s="82"/>
      <c r="U397" s="83"/>
      <c r="V397" s="82"/>
      <c r="W397" s="82"/>
      <c r="X397" s="82"/>
      <c r="Y397" s="83"/>
      <c r="Z397" s="82"/>
      <c r="AA397" s="82"/>
      <c r="AB397" s="82"/>
      <c r="AC397" s="83"/>
      <c r="AD397" s="82"/>
      <c r="AE397" s="82"/>
      <c r="AF397" s="82"/>
      <c r="AG397" s="83"/>
      <c r="AH397" s="82"/>
      <c r="AI397" s="82"/>
      <c r="AJ397" s="82"/>
      <c r="AK397" s="83"/>
      <c r="AL397" s="82"/>
      <c r="AM397" s="82"/>
      <c r="AN397" s="82"/>
      <c r="AO397" s="82"/>
      <c r="AP397" s="84" t="str">
        <f t="shared" si="2"/>
        <v/>
      </c>
      <c r="AQ397" s="9"/>
      <c r="AR397" s="9"/>
      <c r="AS397" s="8"/>
      <c r="AT397" s="9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8"/>
      <c r="BX397" s="9"/>
      <c r="BY397" s="9"/>
      <c r="BZ397" s="9"/>
      <c r="CA397" s="33"/>
      <c r="CB397" s="85" t="str">
        <f t="shared" si="3"/>
        <v/>
      </c>
      <c r="CC397" s="86" t="str">
        <f t="shared" si="4"/>
        <v/>
      </c>
      <c r="CD397" s="86" t="str">
        <f t="shared" si="5"/>
        <v/>
      </c>
      <c r="CE397" s="86" t="str">
        <f t="shared" si="6"/>
        <v/>
      </c>
      <c r="CF397" s="86" t="str">
        <f t="shared" si="7"/>
        <v/>
      </c>
      <c r="CG397" s="86" t="str">
        <f t="shared" si="8"/>
        <v/>
      </c>
      <c r="CH397" s="86" t="str">
        <f t="shared" si="9"/>
        <v/>
      </c>
      <c r="CI397" s="86" t="str">
        <f t="shared" si="10"/>
        <v/>
      </c>
      <c r="CJ397" s="86" t="str">
        <f t="shared" si="11"/>
        <v/>
      </c>
      <c r="CK397" s="86" t="str">
        <f t="shared" si="12"/>
        <v/>
      </c>
      <c r="CL397" s="86" t="str">
        <f t="shared" si="13"/>
        <v/>
      </c>
      <c r="CM397" s="87" t="str">
        <f t="shared" si="14"/>
        <v/>
      </c>
      <c r="CN397" s="88" t="str">
        <f t="shared" si="26"/>
        <v/>
      </c>
      <c r="CO397" s="88" t="str">
        <f t="shared" si="15"/>
        <v/>
      </c>
      <c r="CP397" s="88" t="str">
        <f t="shared" si="16"/>
        <v/>
      </c>
      <c r="CQ397" s="88" t="str">
        <f t="shared" si="17"/>
        <v/>
      </c>
      <c r="CR397" s="88" t="str">
        <f t="shared" si="18"/>
        <v/>
      </c>
      <c r="CS397" s="88" t="str">
        <f t="shared" si="19"/>
        <v/>
      </c>
      <c r="CT397" s="88" t="str">
        <f t="shared" si="20"/>
        <v/>
      </c>
      <c r="CU397" s="88" t="str">
        <f t="shared" si="21"/>
        <v/>
      </c>
      <c r="CV397" s="88" t="str">
        <f t="shared" si="22"/>
        <v/>
      </c>
      <c r="CW397" s="88" t="str">
        <f t="shared" si="23"/>
        <v/>
      </c>
      <c r="CX397" s="7"/>
      <c r="CY397" s="7"/>
      <c r="CZ397" s="7"/>
      <c r="DA397" s="8"/>
      <c r="DU397" s="93" t="str">
        <f t="shared" si="24"/>
        <v/>
      </c>
      <c r="DV397" s="93" t="str">
        <f>ABA!$A397</f>
        <v/>
      </c>
      <c r="DW397" s="82" t="str">
        <f t="shared" si="25"/>
        <v/>
      </c>
    </row>
    <row r="398" ht="15.75" customHeight="1">
      <c r="A398" s="85"/>
      <c r="B398" s="107"/>
      <c r="C398" s="98"/>
      <c r="D398" s="98"/>
      <c r="E398" s="99"/>
      <c r="F398" s="98"/>
      <c r="G398" s="98"/>
      <c r="H398" s="98"/>
      <c r="I398" s="99"/>
      <c r="J398" s="98"/>
      <c r="K398" s="98"/>
      <c r="L398" s="98"/>
      <c r="M398" s="99"/>
      <c r="N398" s="98"/>
      <c r="O398" s="98"/>
      <c r="P398" s="98"/>
      <c r="Q398" s="99"/>
      <c r="R398" s="98"/>
      <c r="S398" s="98"/>
      <c r="T398" s="98"/>
      <c r="U398" s="99"/>
      <c r="V398" s="98"/>
      <c r="W398" s="98"/>
      <c r="X398" s="98"/>
      <c r="Y398" s="100"/>
      <c r="Z398" s="98"/>
      <c r="AA398" s="98"/>
      <c r="AB398" s="98"/>
      <c r="AC398" s="99"/>
      <c r="AD398" s="98"/>
      <c r="AE398" s="98"/>
      <c r="AF398" s="98"/>
      <c r="AG398" s="99"/>
      <c r="AH398" s="98"/>
      <c r="AI398" s="98"/>
      <c r="AJ398" s="98"/>
      <c r="AK398" s="99"/>
      <c r="AL398" s="98"/>
      <c r="AM398" s="98"/>
      <c r="AN398" s="98"/>
      <c r="AO398" s="98"/>
      <c r="AP398" s="84" t="str">
        <f t="shared" si="2"/>
        <v/>
      </c>
      <c r="AQ398" s="9"/>
      <c r="AR398" s="9"/>
      <c r="AS398" s="8"/>
      <c r="AT398" s="9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8"/>
      <c r="BX398" s="9"/>
      <c r="BY398" s="9"/>
      <c r="BZ398" s="9"/>
      <c r="CA398" s="33"/>
      <c r="CB398" s="85" t="str">
        <f t="shared" si="3"/>
        <v/>
      </c>
      <c r="CC398" s="86" t="str">
        <f t="shared" si="4"/>
        <v/>
      </c>
      <c r="CD398" s="86" t="str">
        <f t="shared" si="5"/>
        <v/>
      </c>
      <c r="CE398" s="86" t="str">
        <f t="shared" si="6"/>
        <v/>
      </c>
      <c r="CF398" s="86" t="str">
        <f t="shared" si="7"/>
        <v/>
      </c>
      <c r="CG398" s="86" t="str">
        <f t="shared" si="8"/>
        <v/>
      </c>
      <c r="CH398" s="86" t="str">
        <f t="shared" si="9"/>
        <v/>
      </c>
      <c r="CI398" s="86" t="str">
        <f t="shared" si="10"/>
        <v/>
      </c>
      <c r="CJ398" s="86" t="str">
        <f t="shared" si="11"/>
        <v/>
      </c>
      <c r="CK398" s="86" t="str">
        <f t="shared" si="12"/>
        <v/>
      </c>
      <c r="CL398" s="86" t="str">
        <f t="shared" si="13"/>
        <v/>
      </c>
      <c r="CM398" s="87" t="str">
        <f t="shared" si="14"/>
        <v/>
      </c>
      <c r="CN398" s="88" t="str">
        <f t="shared" si="26"/>
        <v/>
      </c>
      <c r="CO398" s="88" t="str">
        <f t="shared" si="15"/>
        <v/>
      </c>
      <c r="CP398" s="88" t="str">
        <f t="shared" si="16"/>
        <v/>
      </c>
      <c r="CQ398" s="88" t="str">
        <f t="shared" si="17"/>
        <v/>
      </c>
      <c r="CR398" s="88" t="str">
        <f t="shared" si="18"/>
        <v/>
      </c>
      <c r="CS398" s="88" t="str">
        <f t="shared" si="19"/>
        <v/>
      </c>
      <c r="CT398" s="88" t="str">
        <f t="shared" si="20"/>
        <v/>
      </c>
      <c r="CU398" s="88" t="str">
        <f t="shared" si="21"/>
        <v/>
      </c>
      <c r="CV398" s="88" t="str">
        <f t="shared" si="22"/>
        <v/>
      </c>
      <c r="CW398" s="88" t="str">
        <f t="shared" si="23"/>
        <v/>
      </c>
      <c r="CX398" s="7"/>
      <c r="CY398" s="7"/>
      <c r="CZ398" s="7"/>
      <c r="DA398" s="8"/>
      <c r="DU398" s="104" t="str">
        <f t="shared" si="24"/>
        <v/>
      </c>
      <c r="DV398" s="104" t="str">
        <f>ABA!$A398</f>
        <v/>
      </c>
      <c r="DW398" s="98" t="str">
        <f t="shared" si="25"/>
        <v/>
      </c>
    </row>
    <row r="399" ht="15.75" customHeight="1">
      <c r="A399" s="78"/>
      <c r="B399" s="105"/>
      <c r="C399" s="82"/>
      <c r="D399" s="82"/>
      <c r="E399" s="83"/>
      <c r="F399" s="82"/>
      <c r="G399" s="82"/>
      <c r="H399" s="82"/>
      <c r="I399" s="83"/>
      <c r="J399" s="82"/>
      <c r="K399" s="82"/>
      <c r="L399" s="82"/>
      <c r="M399" s="83"/>
      <c r="N399" s="82"/>
      <c r="O399" s="82"/>
      <c r="P399" s="82"/>
      <c r="Q399" s="83"/>
      <c r="R399" s="82"/>
      <c r="S399" s="82"/>
      <c r="T399" s="82"/>
      <c r="U399" s="83"/>
      <c r="V399" s="82"/>
      <c r="W399" s="82"/>
      <c r="X399" s="82"/>
      <c r="Y399" s="83"/>
      <c r="Z399" s="82"/>
      <c r="AA399" s="82"/>
      <c r="AB399" s="82"/>
      <c r="AC399" s="83"/>
      <c r="AD399" s="82"/>
      <c r="AE399" s="82"/>
      <c r="AF399" s="82"/>
      <c r="AG399" s="83"/>
      <c r="AH399" s="82"/>
      <c r="AI399" s="82"/>
      <c r="AJ399" s="82"/>
      <c r="AK399" s="83"/>
      <c r="AL399" s="82"/>
      <c r="AM399" s="82"/>
      <c r="AN399" s="82"/>
      <c r="AO399" s="82"/>
      <c r="AP399" s="84" t="str">
        <f t="shared" si="2"/>
        <v/>
      </c>
      <c r="AQ399" s="9"/>
      <c r="AR399" s="9"/>
      <c r="AS399" s="8"/>
      <c r="AT399" s="9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8"/>
      <c r="BX399" s="9"/>
      <c r="BY399" s="9"/>
      <c r="BZ399" s="9"/>
      <c r="CA399" s="33"/>
      <c r="CB399" s="85" t="str">
        <f t="shared" si="3"/>
        <v/>
      </c>
      <c r="CC399" s="86" t="str">
        <f t="shared" si="4"/>
        <v/>
      </c>
      <c r="CD399" s="86" t="str">
        <f t="shared" si="5"/>
        <v/>
      </c>
      <c r="CE399" s="86" t="str">
        <f t="shared" si="6"/>
        <v/>
      </c>
      <c r="CF399" s="86" t="str">
        <f t="shared" si="7"/>
        <v/>
      </c>
      <c r="CG399" s="86" t="str">
        <f t="shared" si="8"/>
        <v/>
      </c>
      <c r="CH399" s="86" t="str">
        <f t="shared" si="9"/>
        <v/>
      </c>
      <c r="CI399" s="86" t="str">
        <f t="shared" si="10"/>
        <v/>
      </c>
      <c r="CJ399" s="86" t="str">
        <f t="shared" si="11"/>
        <v/>
      </c>
      <c r="CK399" s="86" t="str">
        <f t="shared" si="12"/>
        <v/>
      </c>
      <c r="CL399" s="86" t="str">
        <f t="shared" si="13"/>
        <v/>
      </c>
      <c r="CM399" s="87" t="str">
        <f t="shared" si="14"/>
        <v/>
      </c>
      <c r="CN399" s="88" t="str">
        <f t="shared" si="26"/>
        <v/>
      </c>
      <c r="CO399" s="88" t="str">
        <f t="shared" si="15"/>
        <v/>
      </c>
      <c r="CP399" s="88" t="str">
        <f t="shared" si="16"/>
        <v/>
      </c>
      <c r="CQ399" s="88" t="str">
        <f t="shared" si="17"/>
        <v/>
      </c>
      <c r="CR399" s="88" t="str">
        <f t="shared" si="18"/>
        <v/>
      </c>
      <c r="CS399" s="88" t="str">
        <f t="shared" si="19"/>
        <v/>
      </c>
      <c r="CT399" s="88" t="str">
        <f t="shared" si="20"/>
        <v/>
      </c>
      <c r="CU399" s="88" t="str">
        <f t="shared" si="21"/>
        <v/>
      </c>
      <c r="CV399" s="88" t="str">
        <f t="shared" si="22"/>
        <v/>
      </c>
      <c r="CW399" s="88" t="str">
        <f t="shared" si="23"/>
        <v/>
      </c>
      <c r="CX399" s="7"/>
      <c r="CY399" s="7"/>
      <c r="CZ399" s="7"/>
      <c r="DA399" s="8"/>
      <c r="DU399" s="93" t="str">
        <f t="shared" si="24"/>
        <v/>
      </c>
      <c r="DV399" s="93" t="str">
        <f>ABA!$A399</f>
        <v/>
      </c>
      <c r="DW399" s="82" t="str">
        <f t="shared" si="25"/>
        <v/>
      </c>
    </row>
    <row r="400" ht="15.75" customHeight="1">
      <c r="A400" s="85"/>
      <c r="B400" s="107"/>
      <c r="C400" s="98"/>
      <c r="D400" s="98"/>
      <c r="E400" s="99"/>
      <c r="F400" s="98"/>
      <c r="G400" s="98"/>
      <c r="H400" s="98"/>
      <c r="I400" s="99"/>
      <c r="J400" s="98"/>
      <c r="K400" s="98"/>
      <c r="L400" s="98"/>
      <c r="M400" s="99"/>
      <c r="N400" s="98"/>
      <c r="O400" s="98"/>
      <c r="P400" s="98"/>
      <c r="Q400" s="99"/>
      <c r="R400" s="98"/>
      <c r="S400" s="98"/>
      <c r="T400" s="98"/>
      <c r="U400" s="99"/>
      <c r="V400" s="98"/>
      <c r="W400" s="98"/>
      <c r="X400" s="98"/>
      <c r="Y400" s="100"/>
      <c r="Z400" s="98"/>
      <c r="AA400" s="98"/>
      <c r="AB400" s="98"/>
      <c r="AC400" s="99"/>
      <c r="AD400" s="98"/>
      <c r="AE400" s="98"/>
      <c r="AF400" s="98"/>
      <c r="AG400" s="99"/>
      <c r="AH400" s="98"/>
      <c r="AI400" s="98"/>
      <c r="AJ400" s="98"/>
      <c r="AK400" s="99"/>
      <c r="AL400" s="98"/>
      <c r="AM400" s="98"/>
      <c r="AN400" s="98"/>
      <c r="AO400" s="98"/>
      <c r="AP400" s="84" t="str">
        <f t="shared" si="2"/>
        <v/>
      </c>
      <c r="AQ400" s="9"/>
      <c r="AR400" s="9"/>
      <c r="AS400" s="8"/>
      <c r="AT400" s="9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8"/>
      <c r="BX400" s="9"/>
      <c r="BY400" s="9"/>
      <c r="BZ400" s="9"/>
      <c r="CA400" s="33"/>
      <c r="CB400" s="85" t="str">
        <f t="shared" si="3"/>
        <v/>
      </c>
      <c r="CC400" s="86" t="str">
        <f t="shared" si="4"/>
        <v/>
      </c>
      <c r="CD400" s="86" t="str">
        <f t="shared" si="5"/>
        <v/>
      </c>
      <c r="CE400" s="86" t="str">
        <f t="shared" si="6"/>
        <v/>
      </c>
      <c r="CF400" s="86" t="str">
        <f t="shared" si="7"/>
        <v/>
      </c>
      <c r="CG400" s="86" t="str">
        <f t="shared" si="8"/>
        <v/>
      </c>
      <c r="CH400" s="86" t="str">
        <f t="shared" si="9"/>
        <v/>
      </c>
      <c r="CI400" s="86" t="str">
        <f t="shared" si="10"/>
        <v/>
      </c>
      <c r="CJ400" s="86" t="str">
        <f t="shared" si="11"/>
        <v/>
      </c>
      <c r="CK400" s="86" t="str">
        <f t="shared" si="12"/>
        <v/>
      </c>
      <c r="CL400" s="86" t="str">
        <f t="shared" si="13"/>
        <v/>
      </c>
      <c r="CM400" s="87" t="str">
        <f t="shared" si="14"/>
        <v/>
      </c>
      <c r="CN400" s="88" t="str">
        <f t="shared" si="26"/>
        <v/>
      </c>
      <c r="CO400" s="88" t="str">
        <f t="shared" si="15"/>
        <v/>
      </c>
      <c r="CP400" s="88" t="str">
        <f t="shared" si="16"/>
        <v/>
      </c>
      <c r="CQ400" s="88" t="str">
        <f t="shared" si="17"/>
        <v/>
      </c>
      <c r="CR400" s="88" t="str">
        <f t="shared" si="18"/>
        <v/>
      </c>
      <c r="CS400" s="88" t="str">
        <f t="shared" si="19"/>
        <v/>
      </c>
      <c r="CT400" s="88" t="str">
        <f t="shared" si="20"/>
        <v/>
      </c>
      <c r="CU400" s="88" t="str">
        <f t="shared" si="21"/>
        <v/>
      </c>
      <c r="CV400" s="88" t="str">
        <f t="shared" si="22"/>
        <v/>
      </c>
      <c r="CW400" s="88" t="str">
        <f t="shared" si="23"/>
        <v/>
      </c>
      <c r="CX400" s="7"/>
      <c r="CY400" s="7"/>
      <c r="CZ400" s="7"/>
      <c r="DA400" s="8"/>
      <c r="DU400" s="104" t="str">
        <f t="shared" si="24"/>
        <v/>
      </c>
      <c r="DV400" s="104" t="str">
        <f>ABA!$A400</f>
        <v/>
      </c>
      <c r="DW400" s="98" t="str">
        <f t="shared" si="25"/>
        <v/>
      </c>
    </row>
    <row r="401" ht="15.75" customHeight="1">
      <c r="A401" s="78"/>
      <c r="B401" s="105"/>
      <c r="C401" s="82"/>
      <c r="D401" s="82"/>
      <c r="E401" s="83"/>
      <c r="F401" s="82"/>
      <c r="G401" s="82"/>
      <c r="H401" s="82"/>
      <c r="I401" s="83"/>
      <c r="J401" s="82"/>
      <c r="K401" s="82"/>
      <c r="L401" s="82"/>
      <c r="M401" s="83"/>
      <c r="N401" s="82"/>
      <c r="O401" s="82"/>
      <c r="P401" s="82"/>
      <c r="Q401" s="83"/>
      <c r="R401" s="82"/>
      <c r="S401" s="82"/>
      <c r="T401" s="82"/>
      <c r="U401" s="83"/>
      <c r="V401" s="82"/>
      <c r="W401" s="82"/>
      <c r="X401" s="82"/>
      <c r="Y401" s="83"/>
      <c r="Z401" s="82"/>
      <c r="AA401" s="82"/>
      <c r="AB401" s="82"/>
      <c r="AC401" s="83"/>
      <c r="AD401" s="82"/>
      <c r="AE401" s="82"/>
      <c r="AF401" s="82"/>
      <c r="AG401" s="83"/>
      <c r="AH401" s="82"/>
      <c r="AI401" s="82"/>
      <c r="AJ401" s="82"/>
      <c r="AK401" s="83"/>
      <c r="AL401" s="82"/>
      <c r="AM401" s="82"/>
      <c r="AN401" s="82"/>
      <c r="AO401" s="82"/>
      <c r="AP401" s="84" t="str">
        <f t="shared" si="2"/>
        <v/>
      </c>
      <c r="AQ401" s="9"/>
      <c r="AR401" s="9"/>
      <c r="AS401" s="8"/>
      <c r="AT401" s="9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8"/>
      <c r="BX401" s="9"/>
      <c r="BY401" s="9"/>
      <c r="BZ401" s="9"/>
      <c r="CA401" s="33"/>
      <c r="CB401" s="85" t="str">
        <f t="shared" si="3"/>
        <v/>
      </c>
      <c r="CC401" s="86" t="str">
        <f t="shared" si="4"/>
        <v/>
      </c>
      <c r="CD401" s="86" t="str">
        <f t="shared" si="5"/>
        <v/>
      </c>
      <c r="CE401" s="86" t="str">
        <f t="shared" si="6"/>
        <v/>
      </c>
      <c r="CF401" s="86" t="str">
        <f t="shared" si="7"/>
        <v/>
      </c>
      <c r="CG401" s="86" t="str">
        <f t="shared" si="8"/>
        <v/>
      </c>
      <c r="CH401" s="86" t="str">
        <f t="shared" si="9"/>
        <v/>
      </c>
      <c r="CI401" s="86" t="str">
        <f t="shared" si="10"/>
        <v/>
      </c>
      <c r="CJ401" s="86" t="str">
        <f t="shared" si="11"/>
        <v/>
      </c>
      <c r="CK401" s="86" t="str">
        <f t="shared" si="12"/>
        <v/>
      </c>
      <c r="CL401" s="86" t="str">
        <f t="shared" si="13"/>
        <v/>
      </c>
      <c r="CM401" s="87" t="str">
        <f t="shared" si="14"/>
        <v/>
      </c>
      <c r="CN401" s="88" t="str">
        <f t="shared" si="26"/>
        <v/>
      </c>
      <c r="CO401" s="88" t="str">
        <f t="shared" si="15"/>
        <v/>
      </c>
      <c r="CP401" s="88" t="str">
        <f t="shared" si="16"/>
        <v/>
      </c>
      <c r="CQ401" s="88" t="str">
        <f t="shared" si="17"/>
        <v/>
      </c>
      <c r="CR401" s="88" t="str">
        <f t="shared" si="18"/>
        <v/>
      </c>
      <c r="CS401" s="88" t="str">
        <f t="shared" si="19"/>
        <v/>
      </c>
      <c r="CT401" s="88" t="str">
        <f t="shared" si="20"/>
        <v/>
      </c>
      <c r="CU401" s="88" t="str">
        <f t="shared" si="21"/>
        <v/>
      </c>
      <c r="CV401" s="88" t="str">
        <f t="shared" si="22"/>
        <v/>
      </c>
      <c r="CW401" s="88" t="str">
        <f t="shared" si="23"/>
        <v/>
      </c>
      <c r="CX401" s="7"/>
      <c r="CY401" s="7"/>
      <c r="CZ401" s="7"/>
      <c r="DA401" s="8"/>
      <c r="DU401" s="93" t="str">
        <f t="shared" si="24"/>
        <v/>
      </c>
      <c r="DV401" s="93" t="str">
        <f>ABA!$A401</f>
        <v/>
      </c>
      <c r="DW401" s="82" t="str">
        <f t="shared" si="25"/>
        <v/>
      </c>
    </row>
    <row r="402" ht="15.75" customHeight="1">
      <c r="A402" s="85"/>
      <c r="B402" s="107"/>
      <c r="C402" s="98"/>
      <c r="D402" s="98"/>
      <c r="E402" s="99"/>
      <c r="F402" s="98"/>
      <c r="G402" s="98"/>
      <c r="H402" s="98"/>
      <c r="I402" s="99"/>
      <c r="J402" s="98"/>
      <c r="K402" s="98"/>
      <c r="L402" s="98"/>
      <c r="M402" s="99"/>
      <c r="N402" s="98"/>
      <c r="O402" s="98"/>
      <c r="P402" s="98"/>
      <c r="Q402" s="99"/>
      <c r="R402" s="98"/>
      <c r="S402" s="98"/>
      <c r="T402" s="98"/>
      <c r="U402" s="99"/>
      <c r="V402" s="98"/>
      <c r="W402" s="98"/>
      <c r="X402" s="98"/>
      <c r="Y402" s="100"/>
      <c r="Z402" s="98"/>
      <c r="AA402" s="98"/>
      <c r="AB402" s="98"/>
      <c r="AC402" s="99"/>
      <c r="AD402" s="98"/>
      <c r="AE402" s="98"/>
      <c r="AF402" s="98"/>
      <c r="AG402" s="99"/>
      <c r="AH402" s="98"/>
      <c r="AI402" s="98"/>
      <c r="AJ402" s="98"/>
      <c r="AK402" s="99"/>
      <c r="AL402" s="98"/>
      <c r="AM402" s="98"/>
      <c r="AN402" s="98"/>
      <c r="AO402" s="98"/>
      <c r="AP402" s="84" t="str">
        <f t="shared" si="2"/>
        <v/>
      </c>
      <c r="AQ402" s="9"/>
      <c r="AR402" s="9"/>
      <c r="AS402" s="8"/>
      <c r="AT402" s="9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8"/>
      <c r="BX402" s="9"/>
      <c r="BY402" s="9"/>
      <c r="BZ402" s="9"/>
      <c r="CA402" s="33"/>
      <c r="CB402" s="85" t="str">
        <f t="shared" si="3"/>
        <v/>
      </c>
      <c r="CC402" s="86" t="str">
        <f t="shared" si="4"/>
        <v/>
      </c>
      <c r="CD402" s="86" t="str">
        <f t="shared" si="5"/>
        <v/>
      </c>
      <c r="CE402" s="86" t="str">
        <f t="shared" si="6"/>
        <v/>
      </c>
      <c r="CF402" s="86" t="str">
        <f t="shared" si="7"/>
        <v/>
      </c>
      <c r="CG402" s="86" t="str">
        <f t="shared" si="8"/>
        <v/>
      </c>
      <c r="CH402" s="86" t="str">
        <f t="shared" si="9"/>
        <v/>
      </c>
      <c r="CI402" s="86" t="str">
        <f t="shared" si="10"/>
        <v/>
      </c>
      <c r="CJ402" s="86" t="str">
        <f t="shared" si="11"/>
        <v/>
      </c>
      <c r="CK402" s="86" t="str">
        <f t="shared" si="12"/>
        <v/>
      </c>
      <c r="CL402" s="86" t="str">
        <f t="shared" si="13"/>
        <v/>
      </c>
      <c r="CM402" s="87" t="str">
        <f t="shared" si="14"/>
        <v/>
      </c>
      <c r="CN402" s="88" t="str">
        <f t="shared" si="26"/>
        <v/>
      </c>
      <c r="CO402" s="88" t="str">
        <f t="shared" si="15"/>
        <v/>
      </c>
      <c r="CP402" s="88" t="str">
        <f t="shared" si="16"/>
        <v/>
      </c>
      <c r="CQ402" s="88" t="str">
        <f t="shared" si="17"/>
        <v/>
      </c>
      <c r="CR402" s="88" t="str">
        <f t="shared" si="18"/>
        <v/>
      </c>
      <c r="CS402" s="88" t="str">
        <f t="shared" si="19"/>
        <v/>
      </c>
      <c r="CT402" s="88" t="str">
        <f t="shared" si="20"/>
        <v/>
      </c>
      <c r="CU402" s="88" t="str">
        <f t="shared" si="21"/>
        <v/>
      </c>
      <c r="CV402" s="88" t="str">
        <f t="shared" si="22"/>
        <v/>
      </c>
      <c r="CW402" s="88" t="str">
        <f t="shared" si="23"/>
        <v/>
      </c>
      <c r="CX402" s="7"/>
      <c r="CY402" s="7"/>
      <c r="CZ402" s="7"/>
      <c r="DA402" s="8"/>
      <c r="DU402" s="104" t="str">
        <f t="shared" si="24"/>
        <v/>
      </c>
      <c r="DV402" s="104" t="str">
        <f>ABA!$A402</f>
        <v/>
      </c>
      <c r="DW402" s="98" t="str">
        <f t="shared" si="25"/>
        <v/>
      </c>
    </row>
    <row r="403" ht="15.75" customHeight="1">
      <c r="A403" s="78"/>
      <c r="B403" s="105"/>
      <c r="C403" s="82"/>
      <c r="D403" s="82"/>
      <c r="E403" s="83"/>
      <c r="F403" s="82"/>
      <c r="G403" s="82"/>
      <c r="H403" s="82"/>
      <c r="I403" s="83"/>
      <c r="J403" s="82"/>
      <c r="K403" s="82"/>
      <c r="L403" s="82"/>
      <c r="M403" s="83"/>
      <c r="N403" s="82"/>
      <c r="O403" s="82"/>
      <c r="P403" s="82"/>
      <c r="Q403" s="83"/>
      <c r="R403" s="82"/>
      <c r="S403" s="82"/>
      <c r="T403" s="82"/>
      <c r="U403" s="83"/>
      <c r="V403" s="82"/>
      <c r="W403" s="82"/>
      <c r="X403" s="82"/>
      <c r="Y403" s="83"/>
      <c r="Z403" s="82"/>
      <c r="AA403" s="82"/>
      <c r="AB403" s="82"/>
      <c r="AC403" s="83"/>
      <c r="AD403" s="82"/>
      <c r="AE403" s="82"/>
      <c r="AF403" s="82"/>
      <c r="AG403" s="83"/>
      <c r="AH403" s="82"/>
      <c r="AI403" s="82"/>
      <c r="AJ403" s="82"/>
      <c r="AK403" s="83"/>
      <c r="AL403" s="82"/>
      <c r="AM403" s="82"/>
      <c r="AN403" s="82"/>
      <c r="AO403" s="82"/>
      <c r="AP403" s="84" t="str">
        <f t="shared" si="2"/>
        <v/>
      </c>
      <c r="AQ403" s="9"/>
      <c r="AR403" s="9"/>
      <c r="AS403" s="8"/>
      <c r="AT403" s="9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8"/>
      <c r="BX403" s="9"/>
      <c r="BY403" s="9"/>
      <c r="BZ403" s="9"/>
      <c r="CA403" s="33"/>
      <c r="CB403" s="85" t="str">
        <f t="shared" si="3"/>
        <v/>
      </c>
      <c r="CC403" s="86" t="str">
        <f t="shared" si="4"/>
        <v/>
      </c>
      <c r="CD403" s="86" t="str">
        <f t="shared" si="5"/>
        <v/>
      </c>
      <c r="CE403" s="86" t="str">
        <f t="shared" si="6"/>
        <v/>
      </c>
      <c r="CF403" s="86" t="str">
        <f t="shared" si="7"/>
        <v/>
      </c>
      <c r="CG403" s="86" t="str">
        <f t="shared" si="8"/>
        <v/>
      </c>
      <c r="CH403" s="86" t="str">
        <f t="shared" si="9"/>
        <v/>
      </c>
      <c r="CI403" s="86" t="str">
        <f t="shared" si="10"/>
        <v/>
      </c>
      <c r="CJ403" s="86" t="str">
        <f t="shared" si="11"/>
        <v/>
      </c>
      <c r="CK403" s="86" t="str">
        <f t="shared" si="12"/>
        <v/>
      </c>
      <c r="CL403" s="86" t="str">
        <f t="shared" si="13"/>
        <v/>
      </c>
      <c r="CM403" s="87" t="str">
        <f t="shared" si="14"/>
        <v/>
      </c>
      <c r="CN403" s="88" t="str">
        <f t="shared" si="26"/>
        <v/>
      </c>
      <c r="CO403" s="88" t="str">
        <f t="shared" si="15"/>
        <v/>
      </c>
      <c r="CP403" s="88" t="str">
        <f t="shared" si="16"/>
        <v/>
      </c>
      <c r="CQ403" s="88" t="str">
        <f t="shared" si="17"/>
        <v/>
      </c>
      <c r="CR403" s="88" t="str">
        <f t="shared" si="18"/>
        <v/>
      </c>
      <c r="CS403" s="88" t="str">
        <f t="shared" si="19"/>
        <v/>
      </c>
      <c r="CT403" s="88" t="str">
        <f t="shared" si="20"/>
        <v/>
      </c>
      <c r="CU403" s="88" t="str">
        <f t="shared" si="21"/>
        <v/>
      </c>
      <c r="CV403" s="88" t="str">
        <f t="shared" si="22"/>
        <v/>
      </c>
      <c r="CW403" s="88" t="str">
        <f t="shared" si="23"/>
        <v/>
      </c>
      <c r="CX403" s="7"/>
      <c r="CY403" s="7"/>
      <c r="CZ403" s="7"/>
      <c r="DA403" s="8"/>
      <c r="DU403" s="93" t="str">
        <f t="shared" si="24"/>
        <v/>
      </c>
      <c r="DV403" s="93" t="str">
        <f>ABA!$A403</f>
        <v/>
      </c>
      <c r="DW403" s="82" t="str">
        <f t="shared" si="25"/>
        <v/>
      </c>
    </row>
    <row r="404" ht="15.75" customHeight="1">
      <c r="A404" s="85"/>
      <c r="B404" s="107"/>
      <c r="C404" s="98"/>
      <c r="D404" s="98"/>
      <c r="E404" s="99"/>
      <c r="F404" s="98"/>
      <c r="G404" s="98"/>
      <c r="H404" s="98"/>
      <c r="I404" s="99"/>
      <c r="J404" s="98"/>
      <c r="K404" s="98"/>
      <c r="L404" s="98"/>
      <c r="M404" s="99"/>
      <c r="N404" s="98"/>
      <c r="O404" s="98"/>
      <c r="P404" s="98"/>
      <c r="Q404" s="99"/>
      <c r="R404" s="98"/>
      <c r="S404" s="98"/>
      <c r="T404" s="98"/>
      <c r="U404" s="99"/>
      <c r="V404" s="98"/>
      <c r="W404" s="98"/>
      <c r="X404" s="98"/>
      <c r="Y404" s="100"/>
      <c r="Z404" s="98"/>
      <c r="AA404" s="98"/>
      <c r="AB404" s="98"/>
      <c r="AC404" s="99"/>
      <c r="AD404" s="98"/>
      <c r="AE404" s="98"/>
      <c r="AF404" s="98"/>
      <c r="AG404" s="99"/>
      <c r="AH404" s="98"/>
      <c r="AI404" s="98"/>
      <c r="AJ404" s="98"/>
      <c r="AK404" s="99"/>
      <c r="AL404" s="98"/>
      <c r="AM404" s="98"/>
      <c r="AN404" s="98"/>
      <c r="AO404" s="98"/>
      <c r="AP404" s="84" t="str">
        <f t="shared" si="2"/>
        <v/>
      </c>
      <c r="AQ404" s="9"/>
      <c r="AR404" s="9"/>
      <c r="AS404" s="8"/>
      <c r="AT404" s="9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8"/>
      <c r="BX404" s="9"/>
      <c r="BY404" s="9"/>
      <c r="BZ404" s="9"/>
      <c r="CA404" s="33"/>
      <c r="CB404" s="85" t="str">
        <f t="shared" si="3"/>
        <v/>
      </c>
      <c r="CC404" s="86" t="str">
        <f t="shared" si="4"/>
        <v/>
      </c>
      <c r="CD404" s="86" t="str">
        <f t="shared" si="5"/>
        <v/>
      </c>
      <c r="CE404" s="86" t="str">
        <f t="shared" si="6"/>
        <v/>
      </c>
      <c r="CF404" s="86" t="str">
        <f t="shared" si="7"/>
        <v/>
      </c>
      <c r="CG404" s="86" t="str">
        <f t="shared" si="8"/>
        <v/>
      </c>
      <c r="CH404" s="86" t="str">
        <f t="shared" si="9"/>
        <v/>
      </c>
      <c r="CI404" s="86" t="str">
        <f t="shared" si="10"/>
        <v/>
      </c>
      <c r="CJ404" s="86" t="str">
        <f t="shared" si="11"/>
        <v/>
      </c>
      <c r="CK404" s="86" t="str">
        <f t="shared" si="12"/>
        <v/>
      </c>
      <c r="CL404" s="86" t="str">
        <f t="shared" si="13"/>
        <v/>
      </c>
      <c r="CM404" s="87" t="str">
        <f t="shared" si="14"/>
        <v/>
      </c>
      <c r="CN404" s="88" t="str">
        <f t="shared" si="26"/>
        <v/>
      </c>
      <c r="CO404" s="88" t="str">
        <f t="shared" si="15"/>
        <v/>
      </c>
      <c r="CP404" s="88" t="str">
        <f t="shared" si="16"/>
        <v/>
      </c>
      <c r="CQ404" s="88" t="str">
        <f t="shared" si="17"/>
        <v/>
      </c>
      <c r="CR404" s="88" t="str">
        <f t="shared" si="18"/>
        <v/>
      </c>
      <c r="CS404" s="88" t="str">
        <f t="shared" si="19"/>
        <v/>
      </c>
      <c r="CT404" s="88" t="str">
        <f t="shared" si="20"/>
        <v/>
      </c>
      <c r="CU404" s="88" t="str">
        <f t="shared" si="21"/>
        <v/>
      </c>
      <c r="CV404" s="88" t="str">
        <f t="shared" si="22"/>
        <v/>
      </c>
      <c r="CW404" s="88" t="str">
        <f t="shared" si="23"/>
        <v/>
      </c>
      <c r="CX404" s="7"/>
      <c r="CY404" s="7"/>
      <c r="CZ404" s="7"/>
      <c r="DA404" s="8"/>
      <c r="DU404" s="104" t="str">
        <f t="shared" si="24"/>
        <v/>
      </c>
      <c r="DV404" s="104" t="str">
        <f>ABA!$A404</f>
        <v/>
      </c>
      <c r="DW404" s="98" t="str">
        <f t="shared" si="25"/>
        <v/>
      </c>
    </row>
    <row r="405" ht="15.75" customHeight="1">
      <c r="A405" s="78"/>
      <c r="B405" s="105"/>
      <c r="C405" s="82"/>
      <c r="D405" s="82"/>
      <c r="E405" s="83"/>
      <c r="F405" s="82"/>
      <c r="G405" s="82"/>
      <c r="H405" s="82"/>
      <c r="I405" s="83"/>
      <c r="J405" s="82"/>
      <c r="K405" s="82"/>
      <c r="L405" s="82"/>
      <c r="M405" s="83"/>
      <c r="N405" s="82"/>
      <c r="O405" s="82"/>
      <c r="P405" s="82"/>
      <c r="Q405" s="83"/>
      <c r="R405" s="82"/>
      <c r="S405" s="82"/>
      <c r="T405" s="82"/>
      <c r="U405" s="83"/>
      <c r="V405" s="82"/>
      <c r="W405" s="82"/>
      <c r="X405" s="82"/>
      <c r="Y405" s="83"/>
      <c r="Z405" s="82"/>
      <c r="AA405" s="82"/>
      <c r="AB405" s="82"/>
      <c r="AC405" s="83"/>
      <c r="AD405" s="82"/>
      <c r="AE405" s="82"/>
      <c r="AF405" s="82"/>
      <c r="AG405" s="83"/>
      <c r="AH405" s="82"/>
      <c r="AI405" s="82"/>
      <c r="AJ405" s="82"/>
      <c r="AK405" s="83"/>
      <c r="AL405" s="82"/>
      <c r="AM405" s="82"/>
      <c r="AN405" s="82"/>
      <c r="AO405" s="82"/>
      <c r="AP405" s="84" t="str">
        <f t="shared" si="2"/>
        <v/>
      </c>
      <c r="AQ405" s="9"/>
      <c r="AR405" s="9"/>
      <c r="AS405" s="8"/>
      <c r="AT405" s="9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8"/>
      <c r="BX405" s="9"/>
      <c r="BY405" s="9"/>
      <c r="BZ405" s="9"/>
      <c r="CA405" s="33"/>
      <c r="CB405" s="85" t="str">
        <f t="shared" si="3"/>
        <v/>
      </c>
      <c r="CC405" s="86" t="str">
        <f t="shared" si="4"/>
        <v/>
      </c>
      <c r="CD405" s="86" t="str">
        <f t="shared" si="5"/>
        <v/>
      </c>
      <c r="CE405" s="86" t="str">
        <f t="shared" si="6"/>
        <v/>
      </c>
      <c r="CF405" s="86" t="str">
        <f t="shared" si="7"/>
        <v/>
      </c>
      <c r="CG405" s="86" t="str">
        <f t="shared" si="8"/>
        <v/>
      </c>
      <c r="CH405" s="86" t="str">
        <f t="shared" si="9"/>
        <v/>
      </c>
      <c r="CI405" s="86" t="str">
        <f t="shared" si="10"/>
        <v/>
      </c>
      <c r="CJ405" s="86" t="str">
        <f t="shared" si="11"/>
        <v/>
      </c>
      <c r="CK405" s="86" t="str">
        <f t="shared" si="12"/>
        <v/>
      </c>
      <c r="CL405" s="86" t="str">
        <f t="shared" si="13"/>
        <v/>
      </c>
      <c r="CM405" s="87" t="str">
        <f t="shared" si="14"/>
        <v/>
      </c>
      <c r="CN405" s="88" t="str">
        <f t="shared" si="26"/>
        <v/>
      </c>
      <c r="CO405" s="88" t="str">
        <f t="shared" si="15"/>
        <v/>
      </c>
      <c r="CP405" s="88" t="str">
        <f t="shared" si="16"/>
        <v/>
      </c>
      <c r="CQ405" s="88" t="str">
        <f t="shared" si="17"/>
        <v/>
      </c>
      <c r="CR405" s="88" t="str">
        <f t="shared" si="18"/>
        <v/>
      </c>
      <c r="CS405" s="88" t="str">
        <f t="shared" si="19"/>
        <v/>
      </c>
      <c r="CT405" s="88" t="str">
        <f t="shared" si="20"/>
        <v/>
      </c>
      <c r="CU405" s="88" t="str">
        <f t="shared" si="21"/>
        <v/>
      </c>
      <c r="CV405" s="88" t="str">
        <f t="shared" si="22"/>
        <v/>
      </c>
      <c r="CW405" s="88" t="str">
        <f t="shared" si="23"/>
        <v/>
      </c>
      <c r="CX405" s="7"/>
      <c r="CY405" s="7"/>
      <c r="CZ405" s="7"/>
      <c r="DA405" s="8"/>
      <c r="DU405" s="93" t="str">
        <f t="shared" si="24"/>
        <v/>
      </c>
      <c r="DV405" s="93" t="str">
        <f>ABA!$A405</f>
        <v/>
      </c>
      <c r="DW405" s="82" t="str">
        <f t="shared" si="25"/>
        <v/>
      </c>
    </row>
    <row r="406" ht="15.75" customHeight="1">
      <c r="A406" s="85"/>
      <c r="B406" s="107"/>
      <c r="C406" s="98"/>
      <c r="D406" s="98"/>
      <c r="E406" s="99"/>
      <c r="F406" s="98"/>
      <c r="G406" s="98"/>
      <c r="H406" s="98"/>
      <c r="I406" s="99"/>
      <c r="J406" s="98"/>
      <c r="K406" s="98"/>
      <c r="L406" s="98"/>
      <c r="M406" s="99"/>
      <c r="N406" s="98"/>
      <c r="O406" s="98"/>
      <c r="P406" s="98"/>
      <c r="Q406" s="99"/>
      <c r="R406" s="98"/>
      <c r="S406" s="98"/>
      <c r="T406" s="98"/>
      <c r="U406" s="99"/>
      <c r="V406" s="98"/>
      <c r="W406" s="98"/>
      <c r="X406" s="98"/>
      <c r="Y406" s="100"/>
      <c r="Z406" s="98"/>
      <c r="AA406" s="98"/>
      <c r="AB406" s="98"/>
      <c r="AC406" s="99"/>
      <c r="AD406" s="98"/>
      <c r="AE406" s="98"/>
      <c r="AF406" s="98"/>
      <c r="AG406" s="99"/>
      <c r="AH406" s="98"/>
      <c r="AI406" s="98"/>
      <c r="AJ406" s="98"/>
      <c r="AK406" s="99"/>
      <c r="AL406" s="98"/>
      <c r="AM406" s="98"/>
      <c r="AN406" s="98"/>
      <c r="AO406" s="98"/>
      <c r="AP406" s="84" t="str">
        <f t="shared" si="2"/>
        <v/>
      </c>
      <c r="AQ406" s="9"/>
      <c r="AR406" s="9"/>
      <c r="AS406" s="8"/>
      <c r="AT406" s="9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8"/>
      <c r="BX406" s="9"/>
      <c r="BY406" s="9"/>
      <c r="BZ406" s="9"/>
      <c r="CA406" s="33"/>
      <c r="CB406" s="85" t="str">
        <f t="shared" si="3"/>
        <v/>
      </c>
      <c r="CC406" s="86" t="str">
        <f t="shared" si="4"/>
        <v/>
      </c>
      <c r="CD406" s="86" t="str">
        <f t="shared" si="5"/>
        <v/>
      </c>
      <c r="CE406" s="86" t="str">
        <f t="shared" si="6"/>
        <v/>
      </c>
      <c r="CF406" s="86" t="str">
        <f t="shared" si="7"/>
        <v/>
      </c>
      <c r="CG406" s="86" t="str">
        <f t="shared" si="8"/>
        <v/>
      </c>
      <c r="CH406" s="86" t="str">
        <f t="shared" si="9"/>
        <v/>
      </c>
      <c r="CI406" s="86" t="str">
        <f t="shared" si="10"/>
        <v/>
      </c>
      <c r="CJ406" s="86" t="str">
        <f t="shared" si="11"/>
        <v/>
      </c>
      <c r="CK406" s="86" t="str">
        <f t="shared" si="12"/>
        <v/>
      </c>
      <c r="CL406" s="86" t="str">
        <f t="shared" si="13"/>
        <v/>
      </c>
      <c r="CM406" s="87" t="str">
        <f t="shared" si="14"/>
        <v/>
      </c>
      <c r="CN406" s="88" t="str">
        <f t="shared" si="26"/>
        <v/>
      </c>
      <c r="CO406" s="88" t="str">
        <f t="shared" si="15"/>
        <v/>
      </c>
      <c r="CP406" s="88" t="str">
        <f t="shared" si="16"/>
        <v/>
      </c>
      <c r="CQ406" s="88" t="str">
        <f t="shared" si="17"/>
        <v/>
      </c>
      <c r="CR406" s="88" t="str">
        <f t="shared" si="18"/>
        <v/>
      </c>
      <c r="CS406" s="88" t="str">
        <f t="shared" si="19"/>
        <v/>
      </c>
      <c r="CT406" s="88" t="str">
        <f t="shared" si="20"/>
        <v/>
      </c>
      <c r="CU406" s="88" t="str">
        <f t="shared" si="21"/>
        <v/>
      </c>
      <c r="CV406" s="88" t="str">
        <f t="shared" si="22"/>
        <v/>
      </c>
      <c r="CW406" s="88" t="str">
        <f t="shared" si="23"/>
        <v/>
      </c>
      <c r="CX406" s="7"/>
      <c r="CY406" s="7"/>
      <c r="CZ406" s="7"/>
      <c r="DA406" s="8"/>
      <c r="DU406" s="104" t="str">
        <f t="shared" si="24"/>
        <v/>
      </c>
      <c r="DV406" s="104" t="str">
        <f>ABA!$A406</f>
        <v/>
      </c>
      <c r="DW406" s="98" t="str">
        <f t="shared" si="25"/>
        <v/>
      </c>
    </row>
    <row r="407" ht="15.75" customHeight="1">
      <c r="A407" s="78"/>
      <c r="B407" s="105"/>
      <c r="C407" s="82"/>
      <c r="D407" s="82"/>
      <c r="E407" s="83"/>
      <c r="F407" s="82"/>
      <c r="G407" s="82"/>
      <c r="H407" s="82"/>
      <c r="I407" s="83"/>
      <c r="J407" s="82"/>
      <c r="K407" s="82"/>
      <c r="L407" s="82"/>
      <c r="M407" s="83"/>
      <c r="N407" s="82"/>
      <c r="O407" s="82"/>
      <c r="P407" s="82"/>
      <c r="Q407" s="83"/>
      <c r="R407" s="82"/>
      <c r="S407" s="82"/>
      <c r="T407" s="82"/>
      <c r="U407" s="83"/>
      <c r="V407" s="82"/>
      <c r="W407" s="82"/>
      <c r="X407" s="82"/>
      <c r="Y407" s="83"/>
      <c r="Z407" s="82"/>
      <c r="AA407" s="82"/>
      <c r="AB407" s="82"/>
      <c r="AC407" s="83"/>
      <c r="AD407" s="82"/>
      <c r="AE407" s="82"/>
      <c r="AF407" s="82"/>
      <c r="AG407" s="83"/>
      <c r="AH407" s="82"/>
      <c r="AI407" s="82"/>
      <c r="AJ407" s="82"/>
      <c r="AK407" s="83"/>
      <c r="AL407" s="82"/>
      <c r="AM407" s="82"/>
      <c r="AN407" s="82"/>
      <c r="AO407" s="82"/>
      <c r="AP407" s="84" t="str">
        <f t="shared" si="2"/>
        <v/>
      </c>
      <c r="AQ407" s="9"/>
      <c r="AR407" s="9"/>
      <c r="AS407" s="8"/>
      <c r="AT407" s="9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8"/>
      <c r="BX407" s="9"/>
      <c r="BY407" s="9"/>
      <c r="BZ407" s="9"/>
      <c r="CA407" s="33"/>
      <c r="CB407" s="85" t="str">
        <f t="shared" si="3"/>
        <v/>
      </c>
      <c r="CC407" s="86" t="str">
        <f t="shared" si="4"/>
        <v/>
      </c>
      <c r="CD407" s="86" t="str">
        <f t="shared" si="5"/>
        <v/>
      </c>
      <c r="CE407" s="86" t="str">
        <f t="shared" si="6"/>
        <v/>
      </c>
      <c r="CF407" s="86" t="str">
        <f t="shared" si="7"/>
        <v/>
      </c>
      <c r="CG407" s="86" t="str">
        <f t="shared" si="8"/>
        <v/>
      </c>
      <c r="CH407" s="86" t="str">
        <f t="shared" si="9"/>
        <v/>
      </c>
      <c r="CI407" s="86" t="str">
        <f t="shared" si="10"/>
        <v/>
      </c>
      <c r="CJ407" s="86" t="str">
        <f t="shared" si="11"/>
        <v/>
      </c>
      <c r="CK407" s="86" t="str">
        <f t="shared" si="12"/>
        <v/>
      </c>
      <c r="CL407" s="86" t="str">
        <f t="shared" si="13"/>
        <v/>
      </c>
      <c r="CM407" s="87" t="str">
        <f t="shared" si="14"/>
        <v/>
      </c>
      <c r="CN407" s="88" t="str">
        <f t="shared" si="26"/>
        <v/>
      </c>
      <c r="CO407" s="88" t="str">
        <f t="shared" si="15"/>
        <v/>
      </c>
      <c r="CP407" s="88" t="str">
        <f t="shared" si="16"/>
        <v/>
      </c>
      <c r="CQ407" s="88" t="str">
        <f t="shared" si="17"/>
        <v/>
      </c>
      <c r="CR407" s="88" t="str">
        <f t="shared" si="18"/>
        <v/>
      </c>
      <c r="CS407" s="88" t="str">
        <f t="shared" si="19"/>
        <v/>
      </c>
      <c r="CT407" s="88" t="str">
        <f t="shared" si="20"/>
        <v/>
      </c>
      <c r="CU407" s="88" t="str">
        <f t="shared" si="21"/>
        <v/>
      </c>
      <c r="CV407" s="88" t="str">
        <f t="shared" si="22"/>
        <v/>
      </c>
      <c r="CW407" s="88" t="str">
        <f t="shared" si="23"/>
        <v/>
      </c>
      <c r="CX407" s="7"/>
      <c r="CY407" s="7"/>
      <c r="CZ407" s="7"/>
      <c r="DA407" s="8"/>
      <c r="DU407" s="93" t="str">
        <f t="shared" si="24"/>
        <v/>
      </c>
      <c r="DV407" s="93" t="str">
        <f>ABA!$A407</f>
        <v/>
      </c>
      <c r="DW407" s="82" t="str">
        <f t="shared" si="25"/>
        <v/>
      </c>
    </row>
    <row r="408" ht="15.75" customHeight="1">
      <c r="A408" s="85"/>
      <c r="B408" s="107"/>
      <c r="C408" s="98"/>
      <c r="D408" s="98"/>
      <c r="E408" s="99"/>
      <c r="F408" s="98"/>
      <c r="G408" s="98"/>
      <c r="H408" s="98"/>
      <c r="I408" s="99"/>
      <c r="J408" s="98"/>
      <c r="K408" s="98"/>
      <c r="L408" s="98"/>
      <c r="M408" s="99"/>
      <c r="N408" s="98"/>
      <c r="O408" s="98"/>
      <c r="P408" s="98"/>
      <c r="Q408" s="99"/>
      <c r="R408" s="98"/>
      <c r="S408" s="98"/>
      <c r="T408" s="98"/>
      <c r="U408" s="99"/>
      <c r="V408" s="98"/>
      <c r="W408" s="98"/>
      <c r="X408" s="98"/>
      <c r="Y408" s="100"/>
      <c r="Z408" s="98"/>
      <c r="AA408" s="98"/>
      <c r="AB408" s="98"/>
      <c r="AC408" s="99"/>
      <c r="AD408" s="98"/>
      <c r="AE408" s="98"/>
      <c r="AF408" s="98"/>
      <c r="AG408" s="99"/>
      <c r="AH408" s="98"/>
      <c r="AI408" s="98"/>
      <c r="AJ408" s="98"/>
      <c r="AK408" s="99"/>
      <c r="AL408" s="98"/>
      <c r="AM408" s="98"/>
      <c r="AN408" s="98"/>
      <c r="AO408" s="98"/>
      <c r="AP408" s="84" t="str">
        <f t="shared" si="2"/>
        <v/>
      </c>
      <c r="AQ408" s="9"/>
      <c r="AR408" s="9"/>
      <c r="AS408" s="8"/>
      <c r="AT408" s="9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8"/>
      <c r="BX408" s="9"/>
      <c r="BY408" s="9"/>
      <c r="BZ408" s="9"/>
      <c r="CA408" s="33"/>
      <c r="CB408" s="85" t="str">
        <f t="shared" si="3"/>
        <v/>
      </c>
      <c r="CC408" s="86" t="str">
        <f t="shared" si="4"/>
        <v/>
      </c>
      <c r="CD408" s="86" t="str">
        <f t="shared" si="5"/>
        <v/>
      </c>
      <c r="CE408" s="86" t="str">
        <f t="shared" si="6"/>
        <v/>
      </c>
      <c r="CF408" s="86" t="str">
        <f t="shared" si="7"/>
        <v/>
      </c>
      <c r="CG408" s="86" t="str">
        <f t="shared" si="8"/>
        <v/>
      </c>
      <c r="CH408" s="86" t="str">
        <f t="shared" si="9"/>
        <v/>
      </c>
      <c r="CI408" s="86" t="str">
        <f t="shared" si="10"/>
        <v/>
      </c>
      <c r="CJ408" s="86" t="str">
        <f t="shared" si="11"/>
        <v/>
      </c>
      <c r="CK408" s="86" t="str">
        <f t="shared" si="12"/>
        <v/>
      </c>
      <c r="CL408" s="86" t="str">
        <f t="shared" si="13"/>
        <v/>
      </c>
      <c r="CM408" s="87" t="str">
        <f t="shared" si="14"/>
        <v/>
      </c>
      <c r="CN408" s="88" t="str">
        <f t="shared" si="26"/>
        <v/>
      </c>
      <c r="CO408" s="88" t="str">
        <f t="shared" si="15"/>
        <v/>
      </c>
      <c r="CP408" s="88" t="str">
        <f t="shared" si="16"/>
        <v/>
      </c>
      <c r="CQ408" s="88" t="str">
        <f t="shared" si="17"/>
        <v/>
      </c>
      <c r="CR408" s="88" t="str">
        <f t="shared" si="18"/>
        <v/>
      </c>
      <c r="CS408" s="88" t="str">
        <f t="shared" si="19"/>
        <v/>
      </c>
      <c r="CT408" s="88" t="str">
        <f t="shared" si="20"/>
        <v/>
      </c>
      <c r="CU408" s="88" t="str">
        <f t="shared" si="21"/>
        <v/>
      </c>
      <c r="CV408" s="88" t="str">
        <f t="shared" si="22"/>
        <v/>
      </c>
      <c r="CW408" s="88" t="str">
        <f t="shared" si="23"/>
        <v/>
      </c>
      <c r="CX408" s="7"/>
      <c r="CY408" s="7"/>
      <c r="CZ408" s="7"/>
      <c r="DA408" s="8"/>
      <c r="DU408" s="104" t="str">
        <f t="shared" si="24"/>
        <v/>
      </c>
      <c r="DV408" s="104" t="str">
        <f>ABA!$A408</f>
        <v/>
      </c>
      <c r="DW408" s="98" t="str">
        <f t="shared" si="25"/>
        <v/>
      </c>
    </row>
    <row r="409" ht="15.75" customHeight="1">
      <c r="A409" s="78"/>
      <c r="B409" s="105"/>
      <c r="C409" s="82"/>
      <c r="D409" s="82"/>
      <c r="E409" s="83"/>
      <c r="F409" s="82"/>
      <c r="G409" s="82"/>
      <c r="H409" s="82"/>
      <c r="I409" s="83"/>
      <c r="J409" s="82"/>
      <c r="K409" s="82"/>
      <c r="L409" s="82"/>
      <c r="M409" s="83"/>
      <c r="N409" s="82"/>
      <c r="O409" s="82"/>
      <c r="P409" s="82"/>
      <c r="Q409" s="83"/>
      <c r="R409" s="82"/>
      <c r="S409" s="82"/>
      <c r="T409" s="82"/>
      <c r="U409" s="83"/>
      <c r="V409" s="82"/>
      <c r="W409" s="82"/>
      <c r="X409" s="82"/>
      <c r="Y409" s="83"/>
      <c r="Z409" s="82"/>
      <c r="AA409" s="82"/>
      <c r="AB409" s="82"/>
      <c r="AC409" s="83"/>
      <c r="AD409" s="82"/>
      <c r="AE409" s="82"/>
      <c r="AF409" s="82"/>
      <c r="AG409" s="83"/>
      <c r="AH409" s="82"/>
      <c r="AI409" s="82"/>
      <c r="AJ409" s="82"/>
      <c r="AK409" s="83"/>
      <c r="AL409" s="82"/>
      <c r="AM409" s="82"/>
      <c r="AN409" s="82"/>
      <c r="AO409" s="82"/>
      <c r="AP409" s="84" t="str">
        <f t="shared" si="2"/>
        <v/>
      </c>
      <c r="AQ409" s="9"/>
      <c r="AR409" s="9"/>
      <c r="AS409" s="8"/>
      <c r="AT409" s="9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8"/>
      <c r="BX409" s="9"/>
      <c r="BY409" s="9"/>
      <c r="BZ409" s="9"/>
      <c r="CA409" s="33"/>
      <c r="CB409" s="85" t="str">
        <f t="shared" si="3"/>
        <v/>
      </c>
      <c r="CC409" s="86" t="str">
        <f t="shared" si="4"/>
        <v/>
      </c>
      <c r="CD409" s="86" t="str">
        <f t="shared" si="5"/>
        <v/>
      </c>
      <c r="CE409" s="86" t="str">
        <f t="shared" si="6"/>
        <v/>
      </c>
      <c r="CF409" s="86" t="str">
        <f t="shared" si="7"/>
        <v/>
      </c>
      <c r="CG409" s="86" t="str">
        <f t="shared" si="8"/>
        <v/>
      </c>
      <c r="CH409" s="86" t="str">
        <f t="shared" si="9"/>
        <v/>
      </c>
      <c r="CI409" s="86" t="str">
        <f t="shared" si="10"/>
        <v/>
      </c>
      <c r="CJ409" s="86" t="str">
        <f t="shared" si="11"/>
        <v/>
      </c>
      <c r="CK409" s="86" t="str">
        <f t="shared" si="12"/>
        <v/>
      </c>
      <c r="CL409" s="86" t="str">
        <f t="shared" si="13"/>
        <v/>
      </c>
      <c r="CM409" s="87" t="str">
        <f t="shared" si="14"/>
        <v/>
      </c>
      <c r="CN409" s="88" t="str">
        <f t="shared" si="26"/>
        <v/>
      </c>
      <c r="CO409" s="88" t="str">
        <f t="shared" si="15"/>
        <v/>
      </c>
      <c r="CP409" s="88" t="str">
        <f t="shared" si="16"/>
        <v/>
      </c>
      <c r="CQ409" s="88" t="str">
        <f t="shared" si="17"/>
        <v/>
      </c>
      <c r="CR409" s="88" t="str">
        <f t="shared" si="18"/>
        <v/>
      </c>
      <c r="CS409" s="88" t="str">
        <f t="shared" si="19"/>
        <v/>
      </c>
      <c r="CT409" s="88" t="str">
        <f t="shared" si="20"/>
        <v/>
      </c>
      <c r="CU409" s="88" t="str">
        <f t="shared" si="21"/>
        <v/>
      </c>
      <c r="CV409" s="88" t="str">
        <f t="shared" si="22"/>
        <v/>
      </c>
      <c r="CW409" s="88" t="str">
        <f t="shared" si="23"/>
        <v/>
      </c>
      <c r="CX409" s="7"/>
      <c r="CY409" s="7"/>
      <c r="CZ409" s="7"/>
      <c r="DA409" s="8"/>
      <c r="DU409" s="93" t="str">
        <f t="shared" si="24"/>
        <v/>
      </c>
      <c r="DV409" s="93" t="str">
        <f>ABA!$A409</f>
        <v/>
      </c>
      <c r="DW409" s="82" t="str">
        <f t="shared" si="25"/>
        <v/>
      </c>
    </row>
    <row r="410" ht="15.75" customHeight="1">
      <c r="A410" s="85"/>
      <c r="B410" s="107"/>
      <c r="C410" s="98"/>
      <c r="D410" s="98"/>
      <c r="E410" s="99"/>
      <c r="F410" s="98"/>
      <c r="G410" s="98"/>
      <c r="H410" s="98"/>
      <c r="I410" s="99"/>
      <c r="J410" s="98"/>
      <c r="K410" s="98"/>
      <c r="L410" s="98"/>
      <c r="M410" s="99"/>
      <c r="N410" s="98"/>
      <c r="O410" s="98"/>
      <c r="P410" s="98"/>
      <c r="Q410" s="99"/>
      <c r="R410" s="98"/>
      <c r="S410" s="98"/>
      <c r="T410" s="98"/>
      <c r="U410" s="99"/>
      <c r="V410" s="98"/>
      <c r="W410" s="98"/>
      <c r="X410" s="98"/>
      <c r="Y410" s="100"/>
      <c r="Z410" s="98"/>
      <c r="AA410" s="98"/>
      <c r="AB410" s="98"/>
      <c r="AC410" s="99"/>
      <c r="AD410" s="98"/>
      <c r="AE410" s="98"/>
      <c r="AF410" s="98"/>
      <c r="AG410" s="99"/>
      <c r="AH410" s="98"/>
      <c r="AI410" s="98"/>
      <c r="AJ410" s="98"/>
      <c r="AK410" s="99"/>
      <c r="AL410" s="98"/>
      <c r="AM410" s="98"/>
      <c r="AN410" s="98"/>
      <c r="AO410" s="98"/>
      <c r="AP410" s="84" t="str">
        <f t="shared" si="2"/>
        <v/>
      </c>
      <c r="AQ410" s="9"/>
      <c r="AR410" s="9"/>
      <c r="AS410" s="8"/>
      <c r="AT410" s="9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8"/>
      <c r="BX410" s="9"/>
      <c r="BY410" s="9"/>
      <c r="BZ410" s="9"/>
      <c r="CA410" s="33"/>
      <c r="CB410" s="85" t="str">
        <f t="shared" si="3"/>
        <v/>
      </c>
      <c r="CC410" s="86" t="str">
        <f t="shared" si="4"/>
        <v/>
      </c>
      <c r="CD410" s="86" t="str">
        <f t="shared" si="5"/>
        <v/>
      </c>
      <c r="CE410" s="86" t="str">
        <f t="shared" si="6"/>
        <v/>
      </c>
      <c r="CF410" s="86" t="str">
        <f t="shared" si="7"/>
        <v/>
      </c>
      <c r="CG410" s="86" t="str">
        <f t="shared" si="8"/>
        <v/>
      </c>
      <c r="CH410" s="86" t="str">
        <f t="shared" si="9"/>
        <v/>
      </c>
      <c r="CI410" s="86" t="str">
        <f t="shared" si="10"/>
        <v/>
      </c>
      <c r="CJ410" s="86" t="str">
        <f t="shared" si="11"/>
        <v/>
      </c>
      <c r="CK410" s="86" t="str">
        <f t="shared" si="12"/>
        <v/>
      </c>
      <c r="CL410" s="86" t="str">
        <f t="shared" si="13"/>
        <v/>
      </c>
      <c r="CM410" s="87" t="str">
        <f t="shared" si="14"/>
        <v/>
      </c>
      <c r="CN410" s="88" t="str">
        <f t="shared" si="26"/>
        <v/>
      </c>
      <c r="CO410" s="88" t="str">
        <f t="shared" si="15"/>
        <v/>
      </c>
      <c r="CP410" s="88" t="str">
        <f t="shared" si="16"/>
        <v/>
      </c>
      <c r="CQ410" s="88" t="str">
        <f t="shared" si="17"/>
        <v/>
      </c>
      <c r="CR410" s="88" t="str">
        <f t="shared" si="18"/>
        <v/>
      </c>
      <c r="CS410" s="88" t="str">
        <f t="shared" si="19"/>
        <v/>
      </c>
      <c r="CT410" s="88" t="str">
        <f t="shared" si="20"/>
        <v/>
      </c>
      <c r="CU410" s="88" t="str">
        <f t="shared" si="21"/>
        <v/>
      </c>
      <c r="CV410" s="88" t="str">
        <f t="shared" si="22"/>
        <v/>
      </c>
      <c r="CW410" s="88" t="str">
        <f t="shared" si="23"/>
        <v/>
      </c>
      <c r="CX410" s="7"/>
      <c r="CY410" s="7"/>
      <c r="CZ410" s="7"/>
      <c r="DA410" s="8"/>
      <c r="DU410" s="104" t="str">
        <f t="shared" si="24"/>
        <v/>
      </c>
      <c r="DV410" s="104" t="str">
        <f>ABA!$A410</f>
        <v/>
      </c>
      <c r="DW410" s="98" t="str">
        <f t="shared" si="25"/>
        <v/>
      </c>
    </row>
    <row r="411" ht="15.75" customHeight="1">
      <c r="A411" s="78"/>
      <c r="B411" s="105"/>
      <c r="C411" s="82"/>
      <c r="D411" s="82"/>
      <c r="E411" s="83"/>
      <c r="F411" s="82"/>
      <c r="G411" s="82"/>
      <c r="H411" s="82"/>
      <c r="I411" s="83"/>
      <c r="J411" s="82"/>
      <c r="K411" s="82"/>
      <c r="L411" s="82"/>
      <c r="M411" s="83"/>
      <c r="N411" s="82"/>
      <c r="O411" s="82"/>
      <c r="P411" s="82"/>
      <c r="Q411" s="83"/>
      <c r="R411" s="82"/>
      <c r="S411" s="82"/>
      <c r="T411" s="82"/>
      <c r="U411" s="83"/>
      <c r="V411" s="82"/>
      <c r="W411" s="82"/>
      <c r="X411" s="82"/>
      <c r="Y411" s="83"/>
      <c r="Z411" s="82"/>
      <c r="AA411" s="82"/>
      <c r="AB411" s="82"/>
      <c r="AC411" s="83"/>
      <c r="AD411" s="82"/>
      <c r="AE411" s="82"/>
      <c r="AF411" s="82"/>
      <c r="AG411" s="83"/>
      <c r="AH411" s="82"/>
      <c r="AI411" s="82"/>
      <c r="AJ411" s="82"/>
      <c r="AK411" s="83"/>
      <c r="AL411" s="82"/>
      <c r="AM411" s="82"/>
      <c r="AN411" s="82"/>
      <c r="AO411" s="82"/>
      <c r="AP411" s="84" t="str">
        <f t="shared" si="2"/>
        <v/>
      </c>
      <c r="AQ411" s="9"/>
      <c r="AR411" s="9"/>
      <c r="AS411" s="8"/>
      <c r="AT411" s="9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8"/>
      <c r="BX411" s="9"/>
      <c r="BY411" s="9"/>
      <c r="BZ411" s="9"/>
      <c r="CA411" s="33"/>
      <c r="CB411" s="85" t="str">
        <f t="shared" si="3"/>
        <v/>
      </c>
      <c r="CC411" s="86" t="str">
        <f t="shared" si="4"/>
        <v/>
      </c>
      <c r="CD411" s="86" t="str">
        <f t="shared" si="5"/>
        <v/>
      </c>
      <c r="CE411" s="86" t="str">
        <f t="shared" si="6"/>
        <v/>
      </c>
      <c r="CF411" s="86" t="str">
        <f t="shared" si="7"/>
        <v/>
      </c>
      <c r="CG411" s="86" t="str">
        <f t="shared" si="8"/>
        <v/>
      </c>
      <c r="CH411" s="86" t="str">
        <f t="shared" si="9"/>
        <v/>
      </c>
      <c r="CI411" s="86" t="str">
        <f t="shared" si="10"/>
        <v/>
      </c>
      <c r="CJ411" s="86" t="str">
        <f t="shared" si="11"/>
        <v/>
      </c>
      <c r="CK411" s="86" t="str">
        <f t="shared" si="12"/>
        <v/>
      </c>
      <c r="CL411" s="86" t="str">
        <f t="shared" si="13"/>
        <v/>
      </c>
      <c r="CM411" s="87" t="str">
        <f t="shared" si="14"/>
        <v/>
      </c>
      <c r="CN411" s="88" t="str">
        <f t="shared" si="26"/>
        <v/>
      </c>
      <c r="CO411" s="88" t="str">
        <f t="shared" si="15"/>
        <v/>
      </c>
      <c r="CP411" s="88" t="str">
        <f t="shared" si="16"/>
        <v/>
      </c>
      <c r="CQ411" s="88" t="str">
        <f t="shared" si="17"/>
        <v/>
      </c>
      <c r="CR411" s="88" t="str">
        <f t="shared" si="18"/>
        <v/>
      </c>
      <c r="CS411" s="88" t="str">
        <f t="shared" si="19"/>
        <v/>
      </c>
      <c r="CT411" s="88" t="str">
        <f t="shared" si="20"/>
        <v/>
      </c>
      <c r="CU411" s="88" t="str">
        <f t="shared" si="21"/>
        <v/>
      </c>
      <c r="CV411" s="88" t="str">
        <f t="shared" si="22"/>
        <v/>
      </c>
      <c r="CW411" s="88" t="str">
        <f t="shared" si="23"/>
        <v/>
      </c>
      <c r="CX411" s="7"/>
      <c r="CY411" s="7"/>
      <c r="CZ411" s="7"/>
      <c r="DA411" s="8"/>
      <c r="DU411" s="93" t="str">
        <f t="shared" si="24"/>
        <v/>
      </c>
      <c r="DV411" s="93" t="str">
        <f>ABA!$A411</f>
        <v/>
      </c>
      <c r="DW411" s="82" t="str">
        <f t="shared" si="25"/>
        <v/>
      </c>
    </row>
    <row r="412" ht="15.75" customHeight="1">
      <c r="A412" s="85"/>
      <c r="B412" s="107"/>
      <c r="C412" s="98"/>
      <c r="D412" s="98"/>
      <c r="E412" s="99"/>
      <c r="F412" s="98"/>
      <c r="G412" s="98"/>
      <c r="H412" s="98"/>
      <c r="I412" s="99"/>
      <c r="J412" s="98"/>
      <c r="K412" s="98"/>
      <c r="L412" s="98"/>
      <c r="M412" s="99"/>
      <c r="N412" s="98"/>
      <c r="O412" s="98"/>
      <c r="P412" s="98"/>
      <c r="Q412" s="99"/>
      <c r="R412" s="98"/>
      <c r="S412" s="98"/>
      <c r="T412" s="98"/>
      <c r="U412" s="99"/>
      <c r="V412" s="98"/>
      <c r="W412" s="98"/>
      <c r="X412" s="98"/>
      <c r="Y412" s="100"/>
      <c r="Z412" s="98"/>
      <c r="AA412" s="98"/>
      <c r="AB412" s="98"/>
      <c r="AC412" s="99"/>
      <c r="AD412" s="98"/>
      <c r="AE412" s="98"/>
      <c r="AF412" s="98"/>
      <c r="AG412" s="99"/>
      <c r="AH412" s="98"/>
      <c r="AI412" s="98"/>
      <c r="AJ412" s="98"/>
      <c r="AK412" s="99"/>
      <c r="AL412" s="98"/>
      <c r="AM412" s="98"/>
      <c r="AN412" s="98"/>
      <c r="AO412" s="98"/>
      <c r="AP412" s="84" t="str">
        <f t="shared" si="2"/>
        <v/>
      </c>
      <c r="AQ412" s="9"/>
      <c r="AR412" s="9"/>
      <c r="AS412" s="8"/>
      <c r="AT412" s="9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8"/>
      <c r="BX412" s="9"/>
      <c r="BY412" s="9"/>
      <c r="BZ412" s="9"/>
      <c r="CA412" s="33"/>
      <c r="CB412" s="85" t="str">
        <f t="shared" si="3"/>
        <v/>
      </c>
      <c r="CC412" s="86" t="str">
        <f t="shared" si="4"/>
        <v/>
      </c>
      <c r="CD412" s="86" t="str">
        <f t="shared" si="5"/>
        <v/>
      </c>
      <c r="CE412" s="86" t="str">
        <f t="shared" si="6"/>
        <v/>
      </c>
      <c r="CF412" s="86" t="str">
        <f t="shared" si="7"/>
        <v/>
      </c>
      <c r="CG412" s="86" t="str">
        <f t="shared" si="8"/>
        <v/>
      </c>
      <c r="CH412" s="86" t="str">
        <f t="shared" si="9"/>
        <v/>
      </c>
      <c r="CI412" s="86" t="str">
        <f t="shared" si="10"/>
        <v/>
      </c>
      <c r="CJ412" s="86" t="str">
        <f t="shared" si="11"/>
        <v/>
      </c>
      <c r="CK412" s="86" t="str">
        <f t="shared" si="12"/>
        <v/>
      </c>
      <c r="CL412" s="86" t="str">
        <f t="shared" si="13"/>
        <v/>
      </c>
      <c r="CM412" s="87" t="str">
        <f t="shared" si="14"/>
        <v/>
      </c>
      <c r="CN412" s="88" t="str">
        <f t="shared" si="26"/>
        <v/>
      </c>
      <c r="CO412" s="88" t="str">
        <f t="shared" si="15"/>
        <v/>
      </c>
      <c r="CP412" s="88" t="str">
        <f t="shared" si="16"/>
        <v/>
      </c>
      <c r="CQ412" s="88" t="str">
        <f t="shared" si="17"/>
        <v/>
      </c>
      <c r="CR412" s="88" t="str">
        <f t="shared" si="18"/>
        <v/>
      </c>
      <c r="CS412" s="88" t="str">
        <f t="shared" si="19"/>
        <v/>
      </c>
      <c r="CT412" s="88" t="str">
        <f t="shared" si="20"/>
        <v/>
      </c>
      <c r="CU412" s="88" t="str">
        <f t="shared" si="21"/>
        <v/>
      </c>
      <c r="CV412" s="88" t="str">
        <f t="shared" si="22"/>
        <v/>
      </c>
      <c r="CW412" s="88" t="str">
        <f t="shared" si="23"/>
        <v/>
      </c>
      <c r="CX412" s="7"/>
      <c r="CY412" s="7"/>
      <c r="CZ412" s="7"/>
      <c r="DA412" s="8"/>
      <c r="DU412" s="104" t="str">
        <f t="shared" si="24"/>
        <v/>
      </c>
      <c r="DV412" s="104" t="str">
        <f>ABA!$A412</f>
        <v/>
      </c>
      <c r="DW412" s="98" t="str">
        <f t="shared" si="25"/>
        <v/>
      </c>
    </row>
    <row r="413" ht="15.75" customHeight="1">
      <c r="A413" s="78"/>
      <c r="B413" s="105"/>
      <c r="C413" s="82"/>
      <c r="D413" s="82"/>
      <c r="E413" s="83"/>
      <c r="F413" s="82"/>
      <c r="G413" s="82"/>
      <c r="H413" s="82"/>
      <c r="I413" s="83"/>
      <c r="J413" s="82"/>
      <c r="K413" s="82"/>
      <c r="L413" s="82"/>
      <c r="M413" s="83"/>
      <c r="N413" s="82"/>
      <c r="O413" s="82"/>
      <c r="P413" s="82"/>
      <c r="Q413" s="83"/>
      <c r="R413" s="82"/>
      <c r="S413" s="82"/>
      <c r="T413" s="82"/>
      <c r="U413" s="83"/>
      <c r="V413" s="82"/>
      <c r="W413" s="82"/>
      <c r="X413" s="82"/>
      <c r="Y413" s="83"/>
      <c r="Z413" s="82"/>
      <c r="AA413" s="82"/>
      <c r="AB413" s="82"/>
      <c r="AC413" s="83"/>
      <c r="AD413" s="82"/>
      <c r="AE413" s="82"/>
      <c r="AF413" s="82"/>
      <c r="AG413" s="83"/>
      <c r="AH413" s="82"/>
      <c r="AI413" s="82"/>
      <c r="AJ413" s="82"/>
      <c r="AK413" s="83"/>
      <c r="AL413" s="82"/>
      <c r="AM413" s="82"/>
      <c r="AN413" s="82"/>
      <c r="AO413" s="82"/>
      <c r="AP413" s="84" t="str">
        <f t="shared" si="2"/>
        <v/>
      </c>
      <c r="AQ413" s="9"/>
      <c r="AR413" s="9"/>
      <c r="AS413" s="8"/>
      <c r="AT413" s="9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8"/>
      <c r="BX413" s="9"/>
      <c r="BY413" s="9"/>
      <c r="BZ413" s="9"/>
      <c r="CA413" s="33"/>
      <c r="CB413" s="85" t="str">
        <f t="shared" si="3"/>
        <v/>
      </c>
      <c r="CC413" s="86" t="str">
        <f t="shared" si="4"/>
        <v/>
      </c>
      <c r="CD413" s="86" t="str">
        <f t="shared" si="5"/>
        <v/>
      </c>
      <c r="CE413" s="86" t="str">
        <f t="shared" si="6"/>
        <v/>
      </c>
      <c r="CF413" s="86" t="str">
        <f t="shared" si="7"/>
        <v/>
      </c>
      <c r="CG413" s="86" t="str">
        <f t="shared" si="8"/>
        <v/>
      </c>
      <c r="CH413" s="86" t="str">
        <f t="shared" si="9"/>
        <v/>
      </c>
      <c r="CI413" s="86" t="str">
        <f t="shared" si="10"/>
        <v/>
      </c>
      <c r="CJ413" s="86" t="str">
        <f t="shared" si="11"/>
        <v/>
      </c>
      <c r="CK413" s="86" t="str">
        <f t="shared" si="12"/>
        <v/>
      </c>
      <c r="CL413" s="86" t="str">
        <f t="shared" si="13"/>
        <v/>
      </c>
      <c r="CM413" s="87" t="str">
        <f t="shared" si="14"/>
        <v/>
      </c>
      <c r="CN413" s="88" t="str">
        <f t="shared" si="26"/>
        <v/>
      </c>
      <c r="CO413" s="88" t="str">
        <f t="shared" si="15"/>
        <v/>
      </c>
      <c r="CP413" s="88" t="str">
        <f t="shared" si="16"/>
        <v/>
      </c>
      <c r="CQ413" s="88" t="str">
        <f t="shared" si="17"/>
        <v/>
      </c>
      <c r="CR413" s="88" t="str">
        <f t="shared" si="18"/>
        <v/>
      </c>
      <c r="CS413" s="88" t="str">
        <f t="shared" si="19"/>
        <v/>
      </c>
      <c r="CT413" s="88" t="str">
        <f t="shared" si="20"/>
        <v/>
      </c>
      <c r="CU413" s="88" t="str">
        <f t="shared" si="21"/>
        <v/>
      </c>
      <c r="CV413" s="88" t="str">
        <f t="shared" si="22"/>
        <v/>
      </c>
      <c r="CW413" s="88" t="str">
        <f t="shared" si="23"/>
        <v/>
      </c>
      <c r="CX413" s="7"/>
      <c r="CY413" s="7"/>
      <c r="CZ413" s="7"/>
      <c r="DA413" s="8"/>
      <c r="DU413" s="93" t="str">
        <f t="shared" si="24"/>
        <v/>
      </c>
      <c r="DV413" s="93" t="str">
        <f>ABA!$A413</f>
        <v/>
      </c>
      <c r="DW413" s="82" t="str">
        <f t="shared" si="25"/>
        <v/>
      </c>
    </row>
    <row r="414" ht="15.75" customHeight="1">
      <c r="A414" s="85"/>
      <c r="B414" s="107"/>
      <c r="C414" s="98"/>
      <c r="D414" s="98"/>
      <c r="E414" s="99"/>
      <c r="F414" s="98"/>
      <c r="G414" s="98"/>
      <c r="H414" s="98"/>
      <c r="I414" s="99"/>
      <c r="J414" s="98"/>
      <c r="K414" s="98"/>
      <c r="L414" s="98"/>
      <c r="M414" s="99"/>
      <c r="N414" s="98"/>
      <c r="O414" s="98"/>
      <c r="P414" s="98"/>
      <c r="Q414" s="99"/>
      <c r="R414" s="98"/>
      <c r="S414" s="98"/>
      <c r="T414" s="98"/>
      <c r="U414" s="99"/>
      <c r="V414" s="98"/>
      <c r="W414" s="98"/>
      <c r="X414" s="98"/>
      <c r="Y414" s="100"/>
      <c r="Z414" s="98"/>
      <c r="AA414" s="98"/>
      <c r="AB414" s="98"/>
      <c r="AC414" s="99"/>
      <c r="AD414" s="98"/>
      <c r="AE414" s="98"/>
      <c r="AF414" s="98"/>
      <c r="AG414" s="99"/>
      <c r="AH414" s="98"/>
      <c r="AI414" s="98"/>
      <c r="AJ414" s="98"/>
      <c r="AK414" s="99"/>
      <c r="AL414" s="98"/>
      <c r="AM414" s="98"/>
      <c r="AN414" s="98"/>
      <c r="AO414" s="98"/>
      <c r="AP414" s="84" t="str">
        <f t="shared" si="2"/>
        <v/>
      </c>
      <c r="AQ414" s="9"/>
      <c r="AR414" s="9"/>
      <c r="AS414" s="8"/>
      <c r="AT414" s="9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8"/>
      <c r="BX414" s="9"/>
      <c r="BY414" s="9"/>
      <c r="BZ414" s="9"/>
      <c r="CA414" s="33"/>
      <c r="CB414" s="85" t="str">
        <f t="shared" si="3"/>
        <v/>
      </c>
      <c r="CC414" s="86" t="str">
        <f t="shared" si="4"/>
        <v/>
      </c>
      <c r="CD414" s="86" t="str">
        <f t="shared" si="5"/>
        <v/>
      </c>
      <c r="CE414" s="86" t="str">
        <f t="shared" si="6"/>
        <v/>
      </c>
      <c r="CF414" s="86" t="str">
        <f t="shared" si="7"/>
        <v/>
      </c>
      <c r="CG414" s="86" t="str">
        <f t="shared" si="8"/>
        <v/>
      </c>
      <c r="CH414" s="86" t="str">
        <f t="shared" si="9"/>
        <v/>
      </c>
      <c r="CI414" s="86" t="str">
        <f t="shared" si="10"/>
        <v/>
      </c>
      <c r="CJ414" s="86" t="str">
        <f t="shared" si="11"/>
        <v/>
      </c>
      <c r="CK414" s="86" t="str">
        <f t="shared" si="12"/>
        <v/>
      </c>
      <c r="CL414" s="86" t="str">
        <f t="shared" si="13"/>
        <v/>
      </c>
      <c r="CM414" s="87" t="str">
        <f t="shared" si="14"/>
        <v/>
      </c>
      <c r="CN414" s="88" t="str">
        <f t="shared" si="26"/>
        <v/>
      </c>
      <c r="CO414" s="88" t="str">
        <f t="shared" si="15"/>
        <v/>
      </c>
      <c r="CP414" s="88" t="str">
        <f t="shared" si="16"/>
        <v/>
      </c>
      <c r="CQ414" s="88" t="str">
        <f t="shared" si="17"/>
        <v/>
      </c>
      <c r="CR414" s="88" t="str">
        <f t="shared" si="18"/>
        <v/>
      </c>
      <c r="CS414" s="88" t="str">
        <f t="shared" si="19"/>
        <v/>
      </c>
      <c r="CT414" s="88" t="str">
        <f t="shared" si="20"/>
        <v/>
      </c>
      <c r="CU414" s="88" t="str">
        <f t="shared" si="21"/>
        <v/>
      </c>
      <c r="CV414" s="88" t="str">
        <f t="shared" si="22"/>
        <v/>
      </c>
      <c r="CW414" s="88" t="str">
        <f t="shared" si="23"/>
        <v/>
      </c>
      <c r="CX414" s="7"/>
      <c r="CY414" s="7"/>
      <c r="CZ414" s="7"/>
      <c r="DA414" s="8"/>
      <c r="DU414" s="104" t="str">
        <f t="shared" si="24"/>
        <v/>
      </c>
      <c r="DV414" s="104" t="str">
        <f>ABA!$A414</f>
        <v/>
      </c>
      <c r="DW414" s="98" t="str">
        <f t="shared" si="25"/>
        <v/>
      </c>
    </row>
    <row r="415" ht="15.75" customHeight="1">
      <c r="A415" s="78"/>
      <c r="B415" s="105"/>
      <c r="C415" s="82"/>
      <c r="D415" s="82"/>
      <c r="E415" s="83"/>
      <c r="F415" s="82"/>
      <c r="G415" s="82"/>
      <c r="H415" s="82"/>
      <c r="I415" s="83"/>
      <c r="J415" s="82"/>
      <c r="K415" s="82"/>
      <c r="L415" s="82"/>
      <c r="M415" s="83"/>
      <c r="N415" s="82"/>
      <c r="O415" s="82"/>
      <c r="P415" s="82"/>
      <c r="Q415" s="83"/>
      <c r="R415" s="82"/>
      <c r="S415" s="82"/>
      <c r="T415" s="82"/>
      <c r="U415" s="83"/>
      <c r="V415" s="82"/>
      <c r="W415" s="82"/>
      <c r="X415" s="82"/>
      <c r="Y415" s="83"/>
      <c r="Z415" s="82"/>
      <c r="AA415" s="82"/>
      <c r="AB415" s="82"/>
      <c r="AC415" s="83"/>
      <c r="AD415" s="82"/>
      <c r="AE415" s="82"/>
      <c r="AF415" s="82"/>
      <c r="AG415" s="83"/>
      <c r="AH415" s="82"/>
      <c r="AI415" s="82"/>
      <c r="AJ415" s="82"/>
      <c r="AK415" s="83"/>
      <c r="AL415" s="82"/>
      <c r="AM415" s="82"/>
      <c r="AN415" s="82"/>
      <c r="AO415" s="82"/>
      <c r="AP415" s="84" t="str">
        <f t="shared" si="2"/>
        <v/>
      </c>
      <c r="AQ415" s="9"/>
      <c r="AR415" s="9"/>
      <c r="AS415" s="8"/>
      <c r="AT415" s="9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8"/>
      <c r="BX415" s="9"/>
      <c r="BY415" s="9"/>
      <c r="BZ415" s="9"/>
      <c r="CA415" s="33"/>
      <c r="CB415" s="85" t="str">
        <f t="shared" si="3"/>
        <v/>
      </c>
      <c r="CC415" s="86" t="str">
        <f t="shared" si="4"/>
        <v/>
      </c>
      <c r="CD415" s="86" t="str">
        <f t="shared" si="5"/>
        <v/>
      </c>
      <c r="CE415" s="86" t="str">
        <f t="shared" si="6"/>
        <v/>
      </c>
      <c r="CF415" s="86" t="str">
        <f t="shared" si="7"/>
        <v/>
      </c>
      <c r="CG415" s="86" t="str">
        <f t="shared" si="8"/>
        <v/>
      </c>
      <c r="CH415" s="86" t="str">
        <f t="shared" si="9"/>
        <v/>
      </c>
      <c r="CI415" s="86" t="str">
        <f t="shared" si="10"/>
        <v/>
      </c>
      <c r="CJ415" s="86" t="str">
        <f t="shared" si="11"/>
        <v/>
      </c>
      <c r="CK415" s="86" t="str">
        <f t="shared" si="12"/>
        <v/>
      </c>
      <c r="CL415" s="86" t="str">
        <f t="shared" si="13"/>
        <v/>
      </c>
      <c r="CM415" s="87" t="str">
        <f t="shared" si="14"/>
        <v/>
      </c>
      <c r="CN415" s="88" t="str">
        <f t="shared" si="26"/>
        <v/>
      </c>
      <c r="CO415" s="88" t="str">
        <f t="shared" si="15"/>
        <v/>
      </c>
      <c r="CP415" s="88" t="str">
        <f t="shared" si="16"/>
        <v/>
      </c>
      <c r="CQ415" s="88" t="str">
        <f t="shared" si="17"/>
        <v/>
      </c>
      <c r="CR415" s="88" t="str">
        <f t="shared" si="18"/>
        <v/>
      </c>
      <c r="CS415" s="88" t="str">
        <f t="shared" si="19"/>
        <v/>
      </c>
      <c r="CT415" s="88" t="str">
        <f t="shared" si="20"/>
        <v/>
      </c>
      <c r="CU415" s="88" t="str">
        <f t="shared" si="21"/>
        <v/>
      </c>
      <c r="CV415" s="88" t="str">
        <f t="shared" si="22"/>
        <v/>
      </c>
      <c r="CW415" s="88" t="str">
        <f t="shared" si="23"/>
        <v/>
      </c>
      <c r="CX415" s="7"/>
      <c r="CY415" s="7"/>
      <c r="CZ415" s="7"/>
      <c r="DA415" s="8"/>
      <c r="DU415" s="93" t="str">
        <f t="shared" si="24"/>
        <v/>
      </c>
      <c r="DV415" s="93" t="str">
        <f>ABA!$A415</f>
        <v/>
      </c>
      <c r="DW415" s="82" t="str">
        <f t="shared" si="25"/>
        <v/>
      </c>
    </row>
    <row r="416" ht="15.75" customHeight="1">
      <c r="A416" s="85"/>
      <c r="B416" s="107"/>
      <c r="C416" s="98"/>
      <c r="D416" s="98"/>
      <c r="E416" s="99"/>
      <c r="F416" s="98"/>
      <c r="G416" s="98"/>
      <c r="H416" s="98"/>
      <c r="I416" s="99"/>
      <c r="J416" s="98"/>
      <c r="K416" s="98"/>
      <c r="L416" s="98"/>
      <c r="M416" s="99"/>
      <c r="N416" s="98"/>
      <c r="O416" s="98"/>
      <c r="P416" s="98"/>
      <c r="Q416" s="99"/>
      <c r="R416" s="98"/>
      <c r="S416" s="98"/>
      <c r="T416" s="98"/>
      <c r="U416" s="99"/>
      <c r="V416" s="98"/>
      <c r="W416" s="98"/>
      <c r="X416" s="98"/>
      <c r="Y416" s="100"/>
      <c r="Z416" s="98"/>
      <c r="AA416" s="98"/>
      <c r="AB416" s="98"/>
      <c r="AC416" s="99"/>
      <c r="AD416" s="98"/>
      <c r="AE416" s="98"/>
      <c r="AF416" s="98"/>
      <c r="AG416" s="99"/>
      <c r="AH416" s="98"/>
      <c r="AI416" s="98"/>
      <c r="AJ416" s="98"/>
      <c r="AK416" s="99"/>
      <c r="AL416" s="98"/>
      <c r="AM416" s="98"/>
      <c r="AN416" s="98"/>
      <c r="AO416" s="98"/>
      <c r="AP416" s="84" t="str">
        <f t="shared" si="2"/>
        <v/>
      </c>
      <c r="AQ416" s="9"/>
      <c r="AR416" s="9"/>
      <c r="AS416" s="8"/>
      <c r="AT416" s="9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8"/>
      <c r="BX416" s="9"/>
      <c r="BY416" s="9"/>
      <c r="BZ416" s="9"/>
      <c r="CA416" s="33"/>
      <c r="CB416" s="85" t="str">
        <f t="shared" si="3"/>
        <v/>
      </c>
      <c r="CC416" s="86" t="str">
        <f t="shared" si="4"/>
        <v/>
      </c>
      <c r="CD416" s="86" t="str">
        <f t="shared" si="5"/>
        <v/>
      </c>
      <c r="CE416" s="86" t="str">
        <f t="shared" si="6"/>
        <v/>
      </c>
      <c r="CF416" s="86" t="str">
        <f t="shared" si="7"/>
        <v/>
      </c>
      <c r="CG416" s="86" t="str">
        <f t="shared" si="8"/>
        <v/>
      </c>
      <c r="CH416" s="86" t="str">
        <f t="shared" si="9"/>
        <v/>
      </c>
      <c r="CI416" s="86" t="str">
        <f t="shared" si="10"/>
        <v/>
      </c>
      <c r="CJ416" s="86" t="str">
        <f t="shared" si="11"/>
        <v/>
      </c>
      <c r="CK416" s="86" t="str">
        <f t="shared" si="12"/>
        <v/>
      </c>
      <c r="CL416" s="86" t="str">
        <f t="shared" si="13"/>
        <v/>
      </c>
      <c r="CM416" s="87" t="str">
        <f t="shared" si="14"/>
        <v/>
      </c>
      <c r="CN416" s="88" t="str">
        <f t="shared" si="26"/>
        <v/>
      </c>
      <c r="CO416" s="88" t="str">
        <f t="shared" si="15"/>
        <v/>
      </c>
      <c r="CP416" s="88" t="str">
        <f t="shared" si="16"/>
        <v/>
      </c>
      <c r="CQ416" s="88" t="str">
        <f t="shared" si="17"/>
        <v/>
      </c>
      <c r="CR416" s="88" t="str">
        <f t="shared" si="18"/>
        <v/>
      </c>
      <c r="CS416" s="88" t="str">
        <f t="shared" si="19"/>
        <v/>
      </c>
      <c r="CT416" s="88" t="str">
        <f t="shared" si="20"/>
        <v/>
      </c>
      <c r="CU416" s="88" t="str">
        <f t="shared" si="21"/>
        <v/>
      </c>
      <c r="CV416" s="88" t="str">
        <f t="shared" si="22"/>
        <v/>
      </c>
      <c r="CW416" s="88" t="str">
        <f t="shared" si="23"/>
        <v/>
      </c>
      <c r="CX416" s="7"/>
      <c r="CY416" s="7"/>
      <c r="CZ416" s="7"/>
      <c r="DA416" s="8"/>
      <c r="DU416" s="104" t="str">
        <f t="shared" si="24"/>
        <v/>
      </c>
      <c r="DV416" s="104" t="str">
        <f>ABA!$A416</f>
        <v/>
      </c>
      <c r="DW416" s="98" t="str">
        <f t="shared" si="25"/>
        <v/>
      </c>
    </row>
    <row r="417" ht="15.75" customHeight="1">
      <c r="A417" s="78"/>
      <c r="B417" s="105"/>
      <c r="C417" s="82"/>
      <c r="D417" s="82"/>
      <c r="E417" s="83"/>
      <c r="F417" s="82"/>
      <c r="G417" s="82"/>
      <c r="H417" s="82"/>
      <c r="I417" s="83"/>
      <c r="J417" s="82"/>
      <c r="K417" s="82"/>
      <c r="L417" s="82"/>
      <c r="M417" s="83"/>
      <c r="N417" s="82"/>
      <c r="O417" s="82"/>
      <c r="P417" s="82"/>
      <c r="Q417" s="83"/>
      <c r="R417" s="82"/>
      <c r="S417" s="82"/>
      <c r="T417" s="82"/>
      <c r="U417" s="83"/>
      <c r="V417" s="82"/>
      <c r="W417" s="82"/>
      <c r="X417" s="82"/>
      <c r="Y417" s="83"/>
      <c r="Z417" s="82"/>
      <c r="AA417" s="82"/>
      <c r="AB417" s="82"/>
      <c r="AC417" s="83"/>
      <c r="AD417" s="82"/>
      <c r="AE417" s="82"/>
      <c r="AF417" s="82"/>
      <c r="AG417" s="83"/>
      <c r="AH417" s="82"/>
      <c r="AI417" s="82"/>
      <c r="AJ417" s="82"/>
      <c r="AK417" s="83"/>
      <c r="AL417" s="82"/>
      <c r="AM417" s="82"/>
      <c r="AN417" s="82"/>
      <c r="AO417" s="82"/>
      <c r="AP417" s="84" t="str">
        <f t="shared" si="2"/>
        <v/>
      </c>
      <c r="AQ417" s="9"/>
      <c r="AR417" s="9"/>
      <c r="AS417" s="8"/>
      <c r="AT417" s="9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8"/>
      <c r="BX417" s="9"/>
      <c r="BY417" s="9"/>
      <c r="BZ417" s="9"/>
      <c r="CA417" s="33"/>
      <c r="CB417" s="85" t="str">
        <f t="shared" si="3"/>
        <v/>
      </c>
      <c r="CC417" s="86" t="str">
        <f t="shared" si="4"/>
        <v/>
      </c>
      <c r="CD417" s="86" t="str">
        <f t="shared" si="5"/>
        <v/>
      </c>
      <c r="CE417" s="86" t="str">
        <f t="shared" si="6"/>
        <v/>
      </c>
      <c r="CF417" s="86" t="str">
        <f t="shared" si="7"/>
        <v/>
      </c>
      <c r="CG417" s="86" t="str">
        <f t="shared" si="8"/>
        <v/>
      </c>
      <c r="CH417" s="86" t="str">
        <f t="shared" si="9"/>
        <v/>
      </c>
      <c r="CI417" s="86" t="str">
        <f t="shared" si="10"/>
        <v/>
      </c>
      <c r="CJ417" s="86" t="str">
        <f t="shared" si="11"/>
        <v/>
      </c>
      <c r="CK417" s="86" t="str">
        <f t="shared" si="12"/>
        <v/>
      </c>
      <c r="CL417" s="86" t="str">
        <f t="shared" si="13"/>
        <v/>
      </c>
      <c r="CM417" s="87" t="str">
        <f t="shared" si="14"/>
        <v/>
      </c>
      <c r="CN417" s="88" t="str">
        <f t="shared" si="26"/>
        <v/>
      </c>
      <c r="CO417" s="88" t="str">
        <f t="shared" si="15"/>
        <v/>
      </c>
      <c r="CP417" s="88" t="str">
        <f t="shared" si="16"/>
        <v/>
      </c>
      <c r="CQ417" s="88" t="str">
        <f t="shared" si="17"/>
        <v/>
      </c>
      <c r="CR417" s="88" t="str">
        <f t="shared" si="18"/>
        <v/>
      </c>
      <c r="CS417" s="88" t="str">
        <f t="shared" si="19"/>
        <v/>
      </c>
      <c r="CT417" s="88" t="str">
        <f t="shared" si="20"/>
        <v/>
      </c>
      <c r="CU417" s="88" t="str">
        <f t="shared" si="21"/>
        <v/>
      </c>
      <c r="CV417" s="88" t="str">
        <f t="shared" si="22"/>
        <v/>
      </c>
      <c r="CW417" s="88" t="str">
        <f t="shared" si="23"/>
        <v/>
      </c>
      <c r="CX417" s="7"/>
      <c r="CY417" s="7"/>
      <c r="CZ417" s="7"/>
      <c r="DA417" s="8"/>
      <c r="DU417" s="93" t="str">
        <f t="shared" si="24"/>
        <v/>
      </c>
      <c r="DV417" s="93" t="str">
        <f>ABA!$A417</f>
        <v/>
      </c>
      <c r="DW417" s="82" t="str">
        <f t="shared" si="25"/>
        <v/>
      </c>
    </row>
    <row r="418" ht="15.75" customHeight="1">
      <c r="A418" s="85"/>
      <c r="B418" s="107"/>
      <c r="C418" s="98"/>
      <c r="D418" s="98"/>
      <c r="E418" s="99"/>
      <c r="F418" s="98"/>
      <c r="G418" s="98"/>
      <c r="H418" s="98"/>
      <c r="I418" s="99"/>
      <c r="J418" s="98"/>
      <c r="K418" s="98"/>
      <c r="L418" s="98"/>
      <c r="M418" s="99"/>
      <c r="N418" s="98"/>
      <c r="O418" s="98"/>
      <c r="P418" s="98"/>
      <c r="Q418" s="99"/>
      <c r="R418" s="98"/>
      <c r="S418" s="98"/>
      <c r="T418" s="98"/>
      <c r="U418" s="99"/>
      <c r="V418" s="98"/>
      <c r="W418" s="98"/>
      <c r="X418" s="98"/>
      <c r="Y418" s="100"/>
      <c r="Z418" s="98"/>
      <c r="AA418" s="98"/>
      <c r="AB418" s="98"/>
      <c r="AC418" s="99"/>
      <c r="AD418" s="98"/>
      <c r="AE418" s="98"/>
      <c r="AF418" s="98"/>
      <c r="AG418" s="99"/>
      <c r="AH418" s="98"/>
      <c r="AI418" s="98"/>
      <c r="AJ418" s="98"/>
      <c r="AK418" s="99"/>
      <c r="AL418" s="98"/>
      <c r="AM418" s="98"/>
      <c r="AN418" s="98"/>
      <c r="AO418" s="98"/>
      <c r="AP418" s="84" t="str">
        <f t="shared" si="2"/>
        <v/>
      </c>
      <c r="AQ418" s="9"/>
      <c r="AR418" s="9"/>
      <c r="AS418" s="8"/>
      <c r="AT418" s="9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8"/>
      <c r="BX418" s="9"/>
      <c r="BY418" s="9"/>
      <c r="BZ418" s="9"/>
      <c r="CA418" s="33"/>
      <c r="CB418" s="85" t="str">
        <f t="shared" si="3"/>
        <v/>
      </c>
      <c r="CC418" s="86" t="str">
        <f t="shared" si="4"/>
        <v/>
      </c>
      <c r="CD418" s="86" t="str">
        <f t="shared" si="5"/>
        <v/>
      </c>
      <c r="CE418" s="86" t="str">
        <f t="shared" si="6"/>
        <v/>
      </c>
      <c r="CF418" s="86" t="str">
        <f t="shared" si="7"/>
        <v/>
      </c>
      <c r="CG418" s="86" t="str">
        <f t="shared" si="8"/>
        <v/>
      </c>
      <c r="CH418" s="86" t="str">
        <f t="shared" si="9"/>
        <v/>
      </c>
      <c r="CI418" s="86" t="str">
        <f t="shared" si="10"/>
        <v/>
      </c>
      <c r="CJ418" s="86" t="str">
        <f t="shared" si="11"/>
        <v/>
      </c>
      <c r="CK418" s="86" t="str">
        <f t="shared" si="12"/>
        <v/>
      </c>
      <c r="CL418" s="86" t="str">
        <f t="shared" si="13"/>
        <v/>
      </c>
      <c r="CM418" s="87" t="str">
        <f t="shared" si="14"/>
        <v/>
      </c>
      <c r="CN418" s="88" t="str">
        <f t="shared" si="26"/>
        <v/>
      </c>
      <c r="CO418" s="88" t="str">
        <f t="shared" si="15"/>
        <v/>
      </c>
      <c r="CP418" s="88" t="str">
        <f t="shared" si="16"/>
        <v/>
      </c>
      <c r="CQ418" s="88" t="str">
        <f t="shared" si="17"/>
        <v/>
      </c>
      <c r="CR418" s="88" t="str">
        <f t="shared" si="18"/>
        <v/>
      </c>
      <c r="CS418" s="88" t="str">
        <f t="shared" si="19"/>
        <v/>
      </c>
      <c r="CT418" s="88" t="str">
        <f t="shared" si="20"/>
        <v/>
      </c>
      <c r="CU418" s="88" t="str">
        <f t="shared" si="21"/>
        <v/>
      </c>
      <c r="CV418" s="88" t="str">
        <f t="shared" si="22"/>
        <v/>
      </c>
      <c r="CW418" s="88" t="str">
        <f t="shared" si="23"/>
        <v/>
      </c>
      <c r="CX418" s="7"/>
      <c r="CY418" s="7"/>
      <c r="CZ418" s="7"/>
      <c r="DA418" s="8"/>
      <c r="DU418" s="93" t="str">
        <f t="shared" si="24"/>
        <v/>
      </c>
      <c r="DV418" s="104" t="str">
        <f>ABA!$A418</f>
        <v/>
      </c>
      <c r="DW418" s="98" t="str">
        <f t="shared" si="25"/>
        <v/>
      </c>
    </row>
    <row r="419" ht="15.75" customHeight="1">
      <c r="A419" s="78"/>
      <c r="B419" s="105"/>
      <c r="C419" s="82"/>
      <c r="D419" s="82"/>
      <c r="E419" s="83"/>
      <c r="F419" s="82"/>
      <c r="G419" s="82"/>
      <c r="H419" s="82"/>
      <c r="I419" s="83"/>
      <c r="J419" s="82"/>
      <c r="K419" s="82"/>
      <c r="L419" s="82"/>
      <c r="M419" s="83"/>
      <c r="N419" s="82"/>
      <c r="O419" s="82"/>
      <c r="P419" s="82"/>
      <c r="Q419" s="83"/>
      <c r="R419" s="82"/>
      <c r="S419" s="82"/>
      <c r="T419" s="82"/>
      <c r="U419" s="83"/>
      <c r="V419" s="82"/>
      <c r="W419" s="82"/>
      <c r="X419" s="82"/>
      <c r="Y419" s="83"/>
      <c r="Z419" s="82"/>
      <c r="AA419" s="82"/>
      <c r="AB419" s="82"/>
      <c r="AC419" s="83"/>
      <c r="AD419" s="82"/>
      <c r="AE419" s="82"/>
      <c r="AF419" s="82"/>
      <c r="AG419" s="83"/>
      <c r="AH419" s="82"/>
      <c r="AI419" s="82"/>
      <c r="AJ419" s="82"/>
      <c r="AK419" s="83"/>
      <c r="AL419" s="82"/>
      <c r="AM419" s="82"/>
      <c r="AN419" s="82"/>
      <c r="AO419" s="82"/>
      <c r="AP419" s="84" t="str">
        <f t="shared" si="2"/>
        <v/>
      </c>
      <c r="AQ419" s="9"/>
      <c r="AR419" s="9"/>
      <c r="AS419" s="8"/>
      <c r="AT419" s="9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8"/>
      <c r="BX419" s="9"/>
      <c r="BY419" s="9"/>
      <c r="BZ419" s="9"/>
      <c r="CA419" s="33"/>
      <c r="CB419" s="85" t="str">
        <f t="shared" si="3"/>
        <v/>
      </c>
      <c r="CC419" s="86" t="str">
        <f t="shared" si="4"/>
        <v/>
      </c>
      <c r="CD419" s="86" t="str">
        <f t="shared" si="5"/>
        <v/>
      </c>
      <c r="CE419" s="86" t="str">
        <f t="shared" si="6"/>
        <v/>
      </c>
      <c r="CF419" s="86" t="str">
        <f t="shared" si="7"/>
        <v/>
      </c>
      <c r="CG419" s="86" t="str">
        <f t="shared" si="8"/>
        <v/>
      </c>
      <c r="CH419" s="86" t="str">
        <f t="shared" si="9"/>
        <v/>
      </c>
      <c r="CI419" s="86" t="str">
        <f t="shared" si="10"/>
        <v/>
      </c>
      <c r="CJ419" s="86" t="str">
        <f t="shared" si="11"/>
        <v/>
      </c>
      <c r="CK419" s="86" t="str">
        <f t="shared" si="12"/>
        <v/>
      </c>
      <c r="CL419" s="86" t="str">
        <f t="shared" si="13"/>
        <v/>
      </c>
      <c r="CM419" s="87" t="str">
        <f t="shared" si="14"/>
        <v/>
      </c>
      <c r="CN419" s="88" t="str">
        <f t="shared" si="26"/>
        <v/>
      </c>
      <c r="CO419" s="88" t="str">
        <f t="shared" si="15"/>
        <v/>
      </c>
      <c r="CP419" s="88" t="str">
        <f t="shared" si="16"/>
        <v/>
      </c>
      <c r="CQ419" s="88" t="str">
        <f t="shared" si="17"/>
        <v/>
      </c>
      <c r="CR419" s="88" t="str">
        <f t="shared" si="18"/>
        <v/>
      </c>
      <c r="CS419" s="88" t="str">
        <f t="shared" si="19"/>
        <v/>
      </c>
      <c r="CT419" s="88" t="str">
        <f t="shared" si="20"/>
        <v/>
      </c>
      <c r="CU419" s="88" t="str">
        <f t="shared" si="21"/>
        <v/>
      </c>
      <c r="CV419" s="88" t="str">
        <f t="shared" si="22"/>
        <v/>
      </c>
      <c r="CW419" s="88" t="str">
        <f t="shared" si="23"/>
        <v/>
      </c>
      <c r="CX419" s="7"/>
      <c r="CY419" s="7"/>
      <c r="CZ419" s="7"/>
      <c r="DA419" s="8"/>
      <c r="DU419" s="104" t="str">
        <f t="shared" si="24"/>
        <v/>
      </c>
      <c r="DV419" s="93" t="str">
        <f>ABA!$A419</f>
        <v/>
      </c>
      <c r="DW419" s="82" t="str">
        <f t="shared" si="25"/>
        <v/>
      </c>
    </row>
    <row r="420" ht="15.75" customHeight="1">
      <c r="A420" s="85"/>
      <c r="B420" s="107"/>
      <c r="C420" s="98"/>
      <c r="D420" s="98"/>
      <c r="E420" s="99"/>
      <c r="F420" s="98"/>
      <c r="G420" s="98"/>
      <c r="H420" s="98"/>
      <c r="I420" s="99"/>
      <c r="J420" s="98"/>
      <c r="K420" s="98"/>
      <c r="L420" s="98"/>
      <c r="M420" s="99"/>
      <c r="N420" s="98"/>
      <c r="O420" s="98"/>
      <c r="P420" s="98"/>
      <c r="Q420" s="99"/>
      <c r="R420" s="98"/>
      <c r="S420" s="98"/>
      <c r="T420" s="98"/>
      <c r="U420" s="99"/>
      <c r="V420" s="98"/>
      <c r="W420" s="98"/>
      <c r="X420" s="98"/>
      <c r="Y420" s="100"/>
      <c r="Z420" s="98"/>
      <c r="AA420" s="98"/>
      <c r="AB420" s="98"/>
      <c r="AC420" s="99"/>
      <c r="AD420" s="98"/>
      <c r="AE420" s="98"/>
      <c r="AF420" s="98"/>
      <c r="AG420" s="99"/>
      <c r="AH420" s="98"/>
      <c r="AI420" s="98"/>
      <c r="AJ420" s="98"/>
      <c r="AK420" s="99"/>
      <c r="AL420" s="98"/>
      <c r="AM420" s="98"/>
      <c r="AN420" s="98"/>
      <c r="AO420" s="98"/>
      <c r="AP420" s="84" t="str">
        <f t="shared" si="2"/>
        <v/>
      </c>
      <c r="AQ420" s="9"/>
      <c r="AR420" s="9"/>
      <c r="AS420" s="8"/>
      <c r="AT420" s="9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8"/>
      <c r="BX420" s="9"/>
      <c r="BY420" s="9"/>
      <c r="BZ420" s="9"/>
      <c r="CA420" s="33"/>
      <c r="CB420" s="85" t="str">
        <f t="shared" si="3"/>
        <v/>
      </c>
      <c r="CC420" s="86" t="str">
        <f t="shared" si="4"/>
        <v/>
      </c>
      <c r="CD420" s="86" t="str">
        <f t="shared" si="5"/>
        <v/>
      </c>
      <c r="CE420" s="86" t="str">
        <f t="shared" si="6"/>
        <v/>
      </c>
      <c r="CF420" s="86" t="str">
        <f t="shared" si="7"/>
        <v/>
      </c>
      <c r="CG420" s="86" t="str">
        <f t="shared" si="8"/>
        <v/>
      </c>
      <c r="CH420" s="86" t="str">
        <f t="shared" si="9"/>
        <v/>
      </c>
      <c r="CI420" s="86" t="str">
        <f t="shared" si="10"/>
        <v/>
      </c>
      <c r="CJ420" s="86" t="str">
        <f t="shared" si="11"/>
        <v/>
      </c>
      <c r="CK420" s="86" t="str">
        <f t="shared" si="12"/>
        <v/>
      </c>
      <c r="CL420" s="86" t="str">
        <f t="shared" si="13"/>
        <v/>
      </c>
      <c r="CM420" s="87" t="str">
        <f t="shared" si="14"/>
        <v/>
      </c>
      <c r="CN420" s="88" t="str">
        <f t="shared" si="26"/>
        <v/>
      </c>
      <c r="CO420" s="88" t="str">
        <f t="shared" si="15"/>
        <v/>
      </c>
      <c r="CP420" s="88" t="str">
        <f t="shared" si="16"/>
        <v/>
      </c>
      <c r="CQ420" s="88" t="str">
        <f t="shared" si="17"/>
        <v/>
      </c>
      <c r="CR420" s="88" t="str">
        <f t="shared" si="18"/>
        <v/>
      </c>
      <c r="CS420" s="88" t="str">
        <f t="shared" si="19"/>
        <v/>
      </c>
      <c r="CT420" s="88" t="str">
        <f t="shared" si="20"/>
        <v/>
      </c>
      <c r="CU420" s="88" t="str">
        <f t="shared" si="21"/>
        <v/>
      </c>
      <c r="CV420" s="88" t="str">
        <f t="shared" si="22"/>
        <v/>
      </c>
      <c r="CW420" s="88" t="str">
        <f t="shared" si="23"/>
        <v/>
      </c>
      <c r="CX420" s="7"/>
      <c r="CY420" s="7"/>
      <c r="CZ420" s="7"/>
      <c r="DA420" s="8"/>
      <c r="DU420" s="93" t="str">
        <f t="shared" si="24"/>
        <v/>
      </c>
      <c r="DV420" s="104" t="str">
        <f>ABA!$A420</f>
        <v/>
      </c>
      <c r="DW420" s="98" t="str">
        <f t="shared" si="25"/>
        <v/>
      </c>
    </row>
    <row r="421" ht="15.75" customHeight="1">
      <c r="A421" s="78"/>
      <c r="B421" s="105"/>
      <c r="C421" s="82"/>
      <c r="D421" s="82"/>
      <c r="E421" s="83"/>
      <c r="F421" s="82"/>
      <c r="G421" s="82"/>
      <c r="H421" s="82"/>
      <c r="I421" s="83"/>
      <c r="J421" s="82"/>
      <c r="K421" s="82"/>
      <c r="L421" s="82"/>
      <c r="M421" s="83"/>
      <c r="N421" s="82"/>
      <c r="O421" s="82"/>
      <c r="P421" s="82"/>
      <c r="Q421" s="83"/>
      <c r="R421" s="82"/>
      <c r="S421" s="82"/>
      <c r="T421" s="82"/>
      <c r="U421" s="83"/>
      <c r="V421" s="82"/>
      <c r="W421" s="82"/>
      <c r="X421" s="82"/>
      <c r="Y421" s="83"/>
      <c r="Z421" s="82"/>
      <c r="AA421" s="82"/>
      <c r="AB421" s="82"/>
      <c r="AC421" s="83"/>
      <c r="AD421" s="82"/>
      <c r="AE421" s="82"/>
      <c r="AF421" s="82"/>
      <c r="AG421" s="83"/>
      <c r="AH421" s="82"/>
      <c r="AI421" s="82"/>
      <c r="AJ421" s="82"/>
      <c r="AK421" s="83"/>
      <c r="AL421" s="82"/>
      <c r="AM421" s="82"/>
      <c r="AN421" s="82"/>
      <c r="AO421" s="82"/>
      <c r="AP421" s="84" t="str">
        <f t="shared" si="2"/>
        <v/>
      </c>
      <c r="AQ421" s="9"/>
      <c r="AR421" s="9"/>
      <c r="AS421" s="8"/>
      <c r="AT421" s="9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8"/>
      <c r="BX421" s="9"/>
      <c r="BY421" s="9"/>
      <c r="BZ421" s="9"/>
      <c r="CA421" s="33"/>
      <c r="CB421" s="85" t="str">
        <f t="shared" si="3"/>
        <v/>
      </c>
      <c r="CC421" s="86" t="str">
        <f t="shared" si="4"/>
        <v/>
      </c>
      <c r="CD421" s="86" t="str">
        <f t="shared" si="5"/>
        <v/>
      </c>
      <c r="CE421" s="86" t="str">
        <f t="shared" si="6"/>
        <v/>
      </c>
      <c r="CF421" s="86" t="str">
        <f t="shared" si="7"/>
        <v/>
      </c>
      <c r="CG421" s="86" t="str">
        <f t="shared" si="8"/>
        <v/>
      </c>
      <c r="CH421" s="86" t="str">
        <f t="shared" si="9"/>
        <v/>
      </c>
      <c r="CI421" s="86" t="str">
        <f t="shared" si="10"/>
        <v/>
      </c>
      <c r="CJ421" s="86" t="str">
        <f t="shared" si="11"/>
        <v/>
      </c>
      <c r="CK421" s="86" t="str">
        <f t="shared" si="12"/>
        <v/>
      </c>
      <c r="CL421" s="86" t="str">
        <f t="shared" si="13"/>
        <v/>
      </c>
      <c r="CM421" s="87" t="str">
        <f t="shared" si="14"/>
        <v/>
      </c>
      <c r="CN421" s="88" t="str">
        <f t="shared" si="26"/>
        <v/>
      </c>
      <c r="CO421" s="88" t="str">
        <f t="shared" si="15"/>
        <v/>
      </c>
      <c r="CP421" s="88" t="str">
        <f t="shared" si="16"/>
        <v/>
      </c>
      <c r="CQ421" s="88" t="str">
        <f t="shared" si="17"/>
        <v/>
      </c>
      <c r="CR421" s="88" t="str">
        <f t="shared" si="18"/>
        <v/>
      </c>
      <c r="CS421" s="88" t="str">
        <f t="shared" si="19"/>
        <v/>
      </c>
      <c r="CT421" s="88" t="str">
        <f t="shared" si="20"/>
        <v/>
      </c>
      <c r="CU421" s="88" t="str">
        <f t="shared" si="21"/>
        <v/>
      </c>
      <c r="CV421" s="88" t="str">
        <f t="shared" si="22"/>
        <v/>
      </c>
      <c r="CW421" s="88" t="str">
        <f t="shared" si="23"/>
        <v/>
      </c>
      <c r="CX421" s="7"/>
      <c r="CY421" s="7"/>
      <c r="CZ421" s="7"/>
      <c r="DA421" s="8"/>
      <c r="DU421" s="104" t="str">
        <f t="shared" si="24"/>
        <v/>
      </c>
      <c r="DV421" s="93" t="str">
        <f>ABA!$A421</f>
        <v/>
      </c>
      <c r="DW421" s="82" t="str">
        <f t="shared" si="25"/>
        <v/>
      </c>
    </row>
    <row r="422" ht="15.75" customHeight="1">
      <c r="A422" s="85"/>
      <c r="B422" s="107"/>
      <c r="C422" s="98"/>
      <c r="D422" s="98"/>
      <c r="E422" s="99"/>
      <c r="F422" s="98"/>
      <c r="G422" s="98"/>
      <c r="H422" s="98"/>
      <c r="I422" s="99"/>
      <c r="J422" s="98"/>
      <c r="K422" s="98"/>
      <c r="L422" s="98"/>
      <c r="M422" s="99"/>
      <c r="N422" s="98"/>
      <c r="O422" s="98"/>
      <c r="P422" s="98"/>
      <c r="Q422" s="99"/>
      <c r="R422" s="98"/>
      <c r="S422" s="98"/>
      <c r="T422" s="98"/>
      <c r="U422" s="99"/>
      <c r="V422" s="98"/>
      <c r="W422" s="98"/>
      <c r="X422" s="98"/>
      <c r="Y422" s="100"/>
      <c r="Z422" s="98"/>
      <c r="AA422" s="98"/>
      <c r="AB422" s="98"/>
      <c r="AC422" s="99"/>
      <c r="AD422" s="98"/>
      <c r="AE422" s="98"/>
      <c r="AF422" s="98"/>
      <c r="AG422" s="99"/>
      <c r="AH422" s="98"/>
      <c r="AI422" s="98"/>
      <c r="AJ422" s="98"/>
      <c r="AK422" s="99"/>
      <c r="AL422" s="98"/>
      <c r="AM422" s="98"/>
      <c r="AN422" s="98"/>
      <c r="AO422" s="98"/>
      <c r="AP422" s="84" t="str">
        <f t="shared" si="2"/>
        <v/>
      </c>
      <c r="AQ422" s="9"/>
      <c r="AR422" s="9"/>
      <c r="AS422" s="8"/>
      <c r="AT422" s="9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8"/>
      <c r="BX422" s="9"/>
      <c r="BY422" s="9"/>
      <c r="BZ422" s="9"/>
      <c r="CA422" s="33"/>
      <c r="CB422" s="85" t="str">
        <f t="shared" si="3"/>
        <v/>
      </c>
      <c r="CC422" s="86" t="str">
        <f t="shared" si="4"/>
        <v/>
      </c>
      <c r="CD422" s="86" t="str">
        <f t="shared" si="5"/>
        <v/>
      </c>
      <c r="CE422" s="86" t="str">
        <f t="shared" si="6"/>
        <v/>
      </c>
      <c r="CF422" s="86" t="str">
        <f t="shared" si="7"/>
        <v/>
      </c>
      <c r="CG422" s="86" t="str">
        <f t="shared" si="8"/>
        <v/>
      </c>
      <c r="CH422" s="86" t="str">
        <f t="shared" si="9"/>
        <v/>
      </c>
      <c r="CI422" s="86" t="str">
        <f t="shared" si="10"/>
        <v/>
      </c>
      <c r="CJ422" s="86" t="str">
        <f t="shared" si="11"/>
        <v/>
      </c>
      <c r="CK422" s="86" t="str">
        <f t="shared" si="12"/>
        <v/>
      </c>
      <c r="CL422" s="86" t="str">
        <f t="shared" si="13"/>
        <v/>
      </c>
      <c r="CM422" s="87" t="str">
        <f t="shared" si="14"/>
        <v/>
      </c>
      <c r="CN422" s="88" t="str">
        <f t="shared" si="26"/>
        <v/>
      </c>
      <c r="CO422" s="88" t="str">
        <f t="shared" si="15"/>
        <v/>
      </c>
      <c r="CP422" s="88" t="str">
        <f t="shared" si="16"/>
        <v/>
      </c>
      <c r="CQ422" s="88" t="str">
        <f t="shared" si="17"/>
        <v/>
      </c>
      <c r="CR422" s="88" t="str">
        <f t="shared" si="18"/>
        <v/>
      </c>
      <c r="CS422" s="88" t="str">
        <f t="shared" si="19"/>
        <v/>
      </c>
      <c r="CT422" s="88" t="str">
        <f t="shared" si="20"/>
        <v/>
      </c>
      <c r="CU422" s="88" t="str">
        <f t="shared" si="21"/>
        <v/>
      </c>
      <c r="CV422" s="88" t="str">
        <f t="shared" si="22"/>
        <v/>
      </c>
      <c r="CW422" s="88" t="str">
        <f t="shared" si="23"/>
        <v/>
      </c>
      <c r="CX422" s="7"/>
      <c r="CY422" s="7"/>
      <c r="CZ422" s="7"/>
      <c r="DA422" s="8"/>
      <c r="DU422" s="93" t="str">
        <f t="shared" si="24"/>
        <v/>
      </c>
      <c r="DV422" s="104" t="str">
        <f>ABA!$A422</f>
        <v/>
      </c>
      <c r="DW422" s="98" t="str">
        <f t="shared" si="25"/>
        <v/>
      </c>
    </row>
    <row r="423" ht="15.75" customHeight="1">
      <c r="A423" s="78"/>
      <c r="B423" s="105"/>
      <c r="C423" s="82"/>
      <c r="D423" s="82"/>
      <c r="E423" s="83"/>
      <c r="F423" s="82"/>
      <c r="G423" s="82"/>
      <c r="H423" s="82"/>
      <c r="I423" s="83"/>
      <c r="J423" s="82"/>
      <c r="K423" s="82"/>
      <c r="L423" s="82"/>
      <c r="M423" s="83"/>
      <c r="N423" s="82"/>
      <c r="O423" s="82"/>
      <c r="P423" s="82"/>
      <c r="Q423" s="83"/>
      <c r="R423" s="82"/>
      <c r="S423" s="82"/>
      <c r="T423" s="82"/>
      <c r="U423" s="83"/>
      <c r="V423" s="82"/>
      <c r="W423" s="82"/>
      <c r="X423" s="82"/>
      <c r="Y423" s="83"/>
      <c r="Z423" s="82"/>
      <c r="AA423" s="82"/>
      <c r="AB423" s="82"/>
      <c r="AC423" s="83"/>
      <c r="AD423" s="82"/>
      <c r="AE423" s="82"/>
      <c r="AF423" s="82"/>
      <c r="AG423" s="83"/>
      <c r="AH423" s="82"/>
      <c r="AI423" s="82"/>
      <c r="AJ423" s="82"/>
      <c r="AK423" s="83"/>
      <c r="AL423" s="82"/>
      <c r="AM423" s="82"/>
      <c r="AN423" s="82"/>
      <c r="AO423" s="82"/>
      <c r="AP423" s="84" t="str">
        <f t="shared" si="2"/>
        <v/>
      </c>
      <c r="AQ423" s="9"/>
      <c r="AR423" s="9"/>
      <c r="AS423" s="8"/>
      <c r="AT423" s="9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8"/>
      <c r="BX423" s="9"/>
      <c r="BY423" s="9"/>
      <c r="BZ423" s="9"/>
      <c r="CA423" s="33"/>
      <c r="CB423" s="85" t="str">
        <f t="shared" si="3"/>
        <v/>
      </c>
      <c r="CC423" s="86" t="str">
        <f t="shared" si="4"/>
        <v/>
      </c>
      <c r="CD423" s="86" t="str">
        <f t="shared" si="5"/>
        <v/>
      </c>
      <c r="CE423" s="86" t="str">
        <f t="shared" si="6"/>
        <v/>
      </c>
      <c r="CF423" s="86" t="str">
        <f t="shared" si="7"/>
        <v/>
      </c>
      <c r="CG423" s="86" t="str">
        <f t="shared" si="8"/>
        <v/>
      </c>
      <c r="CH423" s="86" t="str">
        <f t="shared" si="9"/>
        <v/>
      </c>
      <c r="CI423" s="86" t="str">
        <f t="shared" si="10"/>
        <v/>
      </c>
      <c r="CJ423" s="86" t="str">
        <f t="shared" si="11"/>
        <v/>
      </c>
      <c r="CK423" s="86" t="str">
        <f t="shared" si="12"/>
        <v/>
      </c>
      <c r="CL423" s="86" t="str">
        <f t="shared" si="13"/>
        <v/>
      </c>
      <c r="CM423" s="87" t="str">
        <f t="shared" si="14"/>
        <v/>
      </c>
      <c r="CN423" s="88" t="str">
        <f t="shared" si="26"/>
        <v/>
      </c>
      <c r="CO423" s="88" t="str">
        <f t="shared" si="15"/>
        <v/>
      </c>
      <c r="CP423" s="88" t="str">
        <f t="shared" si="16"/>
        <v/>
      </c>
      <c r="CQ423" s="88" t="str">
        <f t="shared" si="17"/>
        <v/>
      </c>
      <c r="CR423" s="88" t="str">
        <f t="shared" si="18"/>
        <v/>
      </c>
      <c r="CS423" s="88" t="str">
        <f t="shared" si="19"/>
        <v/>
      </c>
      <c r="CT423" s="88" t="str">
        <f t="shared" si="20"/>
        <v/>
      </c>
      <c r="CU423" s="88" t="str">
        <f t="shared" si="21"/>
        <v/>
      </c>
      <c r="CV423" s="88" t="str">
        <f t="shared" si="22"/>
        <v/>
      </c>
      <c r="CW423" s="88" t="str">
        <f t="shared" si="23"/>
        <v/>
      </c>
      <c r="CX423" s="7"/>
      <c r="CY423" s="7"/>
      <c r="CZ423" s="7"/>
      <c r="DA423" s="8"/>
      <c r="DU423" s="104" t="str">
        <f t="shared" si="24"/>
        <v/>
      </c>
      <c r="DV423" s="93" t="str">
        <f>ABA!$A423</f>
        <v/>
      </c>
      <c r="DW423" s="82" t="str">
        <f t="shared" si="25"/>
        <v/>
      </c>
    </row>
    <row r="424" ht="15.75" customHeight="1">
      <c r="A424" s="85"/>
      <c r="B424" s="107"/>
      <c r="C424" s="98"/>
      <c r="D424" s="98"/>
      <c r="E424" s="99"/>
      <c r="F424" s="98"/>
      <c r="G424" s="98"/>
      <c r="H424" s="98"/>
      <c r="I424" s="99"/>
      <c r="J424" s="98"/>
      <c r="K424" s="98"/>
      <c r="L424" s="98"/>
      <c r="M424" s="99"/>
      <c r="N424" s="98"/>
      <c r="O424" s="98"/>
      <c r="P424" s="98"/>
      <c r="Q424" s="99"/>
      <c r="R424" s="98"/>
      <c r="S424" s="98"/>
      <c r="T424" s="98"/>
      <c r="U424" s="99"/>
      <c r="V424" s="98"/>
      <c r="W424" s="98"/>
      <c r="X424" s="98"/>
      <c r="Y424" s="100"/>
      <c r="Z424" s="98"/>
      <c r="AA424" s="98"/>
      <c r="AB424" s="98"/>
      <c r="AC424" s="99"/>
      <c r="AD424" s="98"/>
      <c r="AE424" s="98"/>
      <c r="AF424" s="98"/>
      <c r="AG424" s="99"/>
      <c r="AH424" s="98"/>
      <c r="AI424" s="98"/>
      <c r="AJ424" s="98"/>
      <c r="AK424" s="99"/>
      <c r="AL424" s="98"/>
      <c r="AM424" s="98"/>
      <c r="AN424" s="98"/>
      <c r="AO424" s="98"/>
      <c r="AP424" s="84" t="str">
        <f t="shared" si="2"/>
        <v/>
      </c>
      <c r="AQ424" s="9"/>
      <c r="AR424" s="9"/>
      <c r="AS424" s="8"/>
      <c r="AT424" s="9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8"/>
      <c r="BX424" s="9"/>
      <c r="BY424" s="9"/>
      <c r="BZ424" s="9"/>
      <c r="CA424" s="33"/>
      <c r="CB424" s="85" t="str">
        <f t="shared" si="3"/>
        <v/>
      </c>
      <c r="CC424" s="86" t="str">
        <f t="shared" si="4"/>
        <v/>
      </c>
      <c r="CD424" s="86" t="str">
        <f t="shared" si="5"/>
        <v/>
      </c>
      <c r="CE424" s="86" t="str">
        <f t="shared" si="6"/>
        <v/>
      </c>
      <c r="CF424" s="86" t="str">
        <f t="shared" si="7"/>
        <v/>
      </c>
      <c r="CG424" s="86" t="str">
        <f t="shared" si="8"/>
        <v/>
      </c>
      <c r="CH424" s="86" t="str">
        <f t="shared" si="9"/>
        <v/>
      </c>
      <c r="CI424" s="86" t="str">
        <f t="shared" si="10"/>
        <v/>
      </c>
      <c r="CJ424" s="86" t="str">
        <f t="shared" si="11"/>
        <v/>
      </c>
      <c r="CK424" s="86" t="str">
        <f t="shared" si="12"/>
        <v/>
      </c>
      <c r="CL424" s="86" t="str">
        <f t="shared" si="13"/>
        <v/>
      </c>
      <c r="CM424" s="87" t="str">
        <f t="shared" si="14"/>
        <v/>
      </c>
      <c r="CN424" s="88" t="str">
        <f t="shared" si="26"/>
        <v/>
      </c>
      <c r="CO424" s="88" t="str">
        <f t="shared" si="15"/>
        <v/>
      </c>
      <c r="CP424" s="88" t="str">
        <f t="shared" si="16"/>
        <v/>
      </c>
      <c r="CQ424" s="88" t="str">
        <f t="shared" si="17"/>
        <v/>
      </c>
      <c r="CR424" s="88" t="str">
        <f t="shared" si="18"/>
        <v/>
      </c>
      <c r="CS424" s="88" t="str">
        <f t="shared" si="19"/>
        <v/>
      </c>
      <c r="CT424" s="88" t="str">
        <f t="shared" si="20"/>
        <v/>
      </c>
      <c r="CU424" s="88" t="str">
        <f t="shared" si="21"/>
        <v/>
      </c>
      <c r="CV424" s="88" t="str">
        <f t="shared" si="22"/>
        <v/>
      </c>
      <c r="CW424" s="88" t="str">
        <f t="shared" si="23"/>
        <v/>
      </c>
      <c r="CX424" s="7"/>
      <c r="CY424" s="7"/>
      <c r="CZ424" s="7"/>
      <c r="DA424" s="8"/>
      <c r="DU424" s="93" t="str">
        <f t="shared" si="24"/>
        <v/>
      </c>
      <c r="DV424" s="104" t="str">
        <f>ABA!$A424</f>
        <v/>
      </c>
      <c r="DW424" s="98" t="str">
        <f t="shared" si="25"/>
        <v/>
      </c>
    </row>
    <row r="425" ht="15.75" customHeight="1">
      <c r="A425" s="78"/>
      <c r="B425" s="105"/>
      <c r="C425" s="82"/>
      <c r="D425" s="82"/>
      <c r="E425" s="83"/>
      <c r="F425" s="82"/>
      <c r="G425" s="82"/>
      <c r="H425" s="82"/>
      <c r="I425" s="83"/>
      <c r="J425" s="82"/>
      <c r="K425" s="82"/>
      <c r="L425" s="82"/>
      <c r="M425" s="83"/>
      <c r="N425" s="82"/>
      <c r="O425" s="82"/>
      <c r="P425" s="82"/>
      <c r="Q425" s="83"/>
      <c r="R425" s="82"/>
      <c r="S425" s="82"/>
      <c r="T425" s="82"/>
      <c r="U425" s="83"/>
      <c r="V425" s="82"/>
      <c r="W425" s="82"/>
      <c r="X425" s="82"/>
      <c r="Y425" s="83"/>
      <c r="Z425" s="82"/>
      <c r="AA425" s="82"/>
      <c r="AB425" s="82"/>
      <c r="AC425" s="83"/>
      <c r="AD425" s="82"/>
      <c r="AE425" s="82"/>
      <c r="AF425" s="82"/>
      <c r="AG425" s="83"/>
      <c r="AH425" s="82"/>
      <c r="AI425" s="82"/>
      <c r="AJ425" s="82"/>
      <c r="AK425" s="83"/>
      <c r="AL425" s="82"/>
      <c r="AM425" s="82"/>
      <c r="AN425" s="82"/>
      <c r="AO425" s="82"/>
      <c r="AP425" s="84" t="str">
        <f t="shared" si="2"/>
        <v/>
      </c>
      <c r="AQ425" s="9"/>
      <c r="AR425" s="9"/>
      <c r="AS425" s="8"/>
      <c r="AT425" s="9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8"/>
      <c r="BX425" s="9"/>
      <c r="BY425" s="9"/>
      <c r="BZ425" s="9"/>
      <c r="CA425" s="33"/>
      <c r="CB425" s="85" t="str">
        <f t="shared" si="3"/>
        <v/>
      </c>
      <c r="CC425" s="86" t="str">
        <f t="shared" si="4"/>
        <v/>
      </c>
      <c r="CD425" s="86" t="str">
        <f t="shared" si="5"/>
        <v/>
      </c>
      <c r="CE425" s="86" t="str">
        <f t="shared" si="6"/>
        <v/>
      </c>
      <c r="CF425" s="86" t="str">
        <f t="shared" si="7"/>
        <v/>
      </c>
      <c r="CG425" s="86" t="str">
        <f t="shared" si="8"/>
        <v/>
      </c>
      <c r="CH425" s="86" t="str">
        <f t="shared" si="9"/>
        <v/>
      </c>
      <c r="CI425" s="86" t="str">
        <f t="shared" si="10"/>
        <v/>
      </c>
      <c r="CJ425" s="86" t="str">
        <f t="shared" si="11"/>
        <v/>
      </c>
      <c r="CK425" s="86" t="str">
        <f t="shared" si="12"/>
        <v/>
      </c>
      <c r="CL425" s="86" t="str">
        <f t="shared" si="13"/>
        <v/>
      </c>
      <c r="CM425" s="87" t="str">
        <f t="shared" si="14"/>
        <v/>
      </c>
      <c r="CN425" s="88" t="str">
        <f t="shared" si="26"/>
        <v/>
      </c>
      <c r="CO425" s="88" t="str">
        <f t="shared" si="15"/>
        <v/>
      </c>
      <c r="CP425" s="88" t="str">
        <f t="shared" si="16"/>
        <v/>
      </c>
      <c r="CQ425" s="88" t="str">
        <f t="shared" si="17"/>
        <v/>
      </c>
      <c r="CR425" s="88" t="str">
        <f t="shared" si="18"/>
        <v/>
      </c>
      <c r="CS425" s="88" t="str">
        <f t="shared" si="19"/>
        <v/>
      </c>
      <c r="CT425" s="88" t="str">
        <f t="shared" si="20"/>
        <v/>
      </c>
      <c r="CU425" s="88" t="str">
        <f t="shared" si="21"/>
        <v/>
      </c>
      <c r="CV425" s="88" t="str">
        <f t="shared" si="22"/>
        <v/>
      </c>
      <c r="CW425" s="88" t="str">
        <f t="shared" si="23"/>
        <v/>
      </c>
      <c r="CX425" s="7"/>
      <c r="CY425" s="7"/>
      <c r="CZ425" s="7"/>
      <c r="DA425" s="8"/>
      <c r="DU425" s="104" t="str">
        <f t="shared" si="24"/>
        <v/>
      </c>
      <c r="DV425" s="93" t="str">
        <f>ABA!$A425</f>
        <v/>
      </c>
      <c r="DW425" s="82" t="str">
        <f t="shared" si="25"/>
        <v/>
      </c>
    </row>
    <row r="426" ht="15.75" customHeight="1">
      <c r="A426" s="85"/>
      <c r="B426" s="107"/>
      <c r="C426" s="98"/>
      <c r="D426" s="98"/>
      <c r="E426" s="99"/>
      <c r="F426" s="98"/>
      <c r="G426" s="98"/>
      <c r="H426" s="98"/>
      <c r="I426" s="99"/>
      <c r="J426" s="98"/>
      <c r="K426" s="98"/>
      <c r="L426" s="98"/>
      <c r="M426" s="99"/>
      <c r="N426" s="98"/>
      <c r="O426" s="98"/>
      <c r="P426" s="98"/>
      <c r="Q426" s="99"/>
      <c r="R426" s="98"/>
      <c r="S426" s="98"/>
      <c r="T426" s="98"/>
      <c r="U426" s="99"/>
      <c r="V426" s="98"/>
      <c r="W426" s="98"/>
      <c r="X426" s="98"/>
      <c r="Y426" s="100"/>
      <c r="Z426" s="98"/>
      <c r="AA426" s="98"/>
      <c r="AB426" s="98"/>
      <c r="AC426" s="99"/>
      <c r="AD426" s="98"/>
      <c r="AE426" s="98"/>
      <c r="AF426" s="98"/>
      <c r="AG426" s="99"/>
      <c r="AH426" s="98"/>
      <c r="AI426" s="98"/>
      <c r="AJ426" s="98"/>
      <c r="AK426" s="99"/>
      <c r="AL426" s="98"/>
      <c r="AM426" s="98"/>
      <c r="AN426" s="98"/>
      <c r="AO426" s="98"/>
      <c r="AP426" s="84" t="str">
        <f t="shared" si="2"/>
        <v/>
      </c>
      <c r="AQ426" s="9"/>
      <c r="AR426" s="9"/>
      <c r="AS426" s="8"/>
      <c r="AT426" s="9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8"/>
      <c r="BX426" s="9"/>
      <c r="BY426" s="9"/>
      <c r="BZ426" s="9"/>
      <c r="CA426" s="33"/>
      <c r="CB426" s="85" t="str">
        <f t="shared" si="3"/>
        <v/>
      </c>
      <c r="CC426" s="86" t="str">
        <f t="shared" si="4"/>
        <v/>
      </c>
      <c r="CD426" s="86" t="str">
        <f t="shared" si="5"/>
        <v/>
      </c>
      <c r="CE426" s="86" t="str">
        <f t="shared" si="6"/>
        <v/>
      </c>
      <c r="CF426" s="86" t="str">
        <f t="shared" si="7"/>
        <v/>
      </c>
      <c r="CG426" s="86" t="str">
        <f t="shared" si="8"/>
        <v/>
      </c>
      <c r="CH426" s="86" t="str">
        <f t="shared" si="9"/>
        <v/>
      </c>
      <c r="CI426" s="86" t="str">
        <f t="shared" si="10"/>
        <v/>
      </c>
      <c r="CJ426" s="86" t="str">
        <f t="shared" si="11"/>
        <v/>
      </c>
      <c r="CK426" s="86" t="str">
        <f t="shared" si="12"/>
        <v/>
      </c>
      <c r="CL426" s="86" t="str">
        <f t="shared" si="13"/>
        <v/>
      </c>
      <c r="CM426" s="87" t="str">
        <f t="shared" si="14"/>
        <v/>
      </c>
      <c r="CN426" s="88" t="str">
        <f t="shared" si="26"/>
        <v/>
      </c>
      <c r="CO426" s="88" t="str">
        <f t="shared" si="15"/>
        <v/>
      </c>
      <c r="CP426" s="88" t="str">
        <f t="shared" si="16"/>
        <v/>
      </c>
      <c r="CQ426" s="88" t="str">
        <f t="shared" si="17"/>
        <v/>
      </c>
      <c r="CR426" s="88" t="str">
        <f t="shared" si="18"/>
        <v/>
      </c>
      <c r="CS426" s="88" t="str">
        <f t="shared" si="19"/>
        <v/>
      </c>
      <c r="CT426" s="88" t="str">
        <f t="shared" si="20"/>
        <v/>
      </c>
      <c r="CU426" s="88" t="str">
        <f t="shared" si="21"/>
        <v/>
      </c>
      <c r="CV426" s="88" t="str">
        <f t="shared" si="22"/>
        <v/>
      </c>
      <c r="CW426" s="88" t="str">
        <f t="shared" si="23"/>
        <v/>
      </c>
      <c r="CX426" s="7"/>
      <c r="CY426" s="7"/>
      <c r="CZ426" s="7"/>
      <c r="DA426" s="8"/>
      <c r="DU426" s="93" t="str">
        <f t="shared" si="24"/>
        <v/>
      </c>
      <c r="DV426" s="104" t="str">
        <f>ABA!$A426</f>
        <v/>
      </c>
      <c r="DW426" s="98" t="str">
        <f t="shared" si="25"/>
        <v/>
      </c>
    </row>
    <row r="427" ht="15.75" customHeight="1">
      <c r="A427" s="78"/>
      <c r="B427" s="105"/>
      <c r="C427" s="82"/>
      <c r="D427" s="82"/>
      <c r="E427" s="83"/>
      <c r="F427" s="82"/>
      <c r="G427" s="82"/>
      <c r="H427" s="82"/>
      <c r="I427" s="83"/>
      <c r="J427" s="82"/>
      <c r="K427" s="82"/>
      <c r="L427" s="82"/>
      <c r="M427" s="83"/>
      <c r="N427" s="82"/>
      <c r="O427" s="82"/>
      <c r="P427" s="82"/>
      <c r="Q427" s="83"/>
      <c r="R427" s="82"/>
      <c r="S427" s="82"/>
      <c r="T427" s="82"/>
      <c r="U427" s="83"/>
      <c r="V427" s="82"/>
      <c r="W427" s="82"/>
      <c r="X427" s="82"/>
      <c r="Y427" s="83"/>
      <c r="Z427" s="82"/>
      <c r="AA427" s="82"/>
      <c r="AB427" s="82"/>
      <c r="AC427" s="83"/>
      <c r="AD427" s="82"/>
      <c r="AE427" s="82"/>
      <c r="AF427" s="82"/>
      <c r="AG427" s="83"/>
      <c r="AH427" s="82"/>
      <c r="AI427" s="82"/>
      <c r="AJ427" s="82"/>
      <c r="AK427" s="83"/>
      <c r="AL427" s="82"/>
      <c r="AM427" s="82"/>
      <c r="AN427" s="82"/>
      <c r="AO427" s="82"/>
      <c r="AP427" s="84" t="str">
        <f t="shared" si="2"/>
        <v/>
      </c>
      <c r="AQ427" s="9"/>
      <c r="AR427" s="9"/>
      <c r="AS427" s="8"/>
      <c r="AT427" s="9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8"/>
      <c r="BX427" s="9"/>
      <c r="BY427" s="9"/>
      <c r="BZ427" s="9"/>
      <c r="CA427" s="33"/>
      <c r="CB427" s="85" t="str">
        <f t="shared" si="3"/>
        <v/>
      </c>
      <c r="CC427" s="86" t="str">
        <f t="shared" si="4"/>
        <v/>
      </c>
      <c r="CD427" s="86" t="str">
        <f t="shared" si="5"/>
        <v/>
      </c>
      <c r="CE427" s="86" t="str">
        <f t="shared" si="6"/>
        <v/>
      </c>
      <c r="CF427" s="86" t="str">
        <f t="shared" si="7"/>
        <v/>
      </c>
      <c r="CG427" s="86" t="str">
        <f t="shared" si="8"/>
        <v/>
      </c>
      <c r="CH427" s="86" t="str">
        <f t="shared" si="9"/>
        <v/>
      </c>
      <c r="CI427" s="86" t="str">
        <f t="shared" si="10"/>
        <v/>
      </c>
      <c r="CJ427" s="86" t="str">
        <f t="shared" si="11"/>
        <v/>
      </c>
      <c r="CK427" s="86" t="str">
        <f t="shared" si="12"/>
        <v/>
      </c>
      <c r="CL427" s="86" t="str">
        <f t="shared" si="13"/>
        <v/>
      </c>
      <c r="CM427" s="87" t="str">
        <f t="shared" si="14"/>
        <v/>
      </c>
      <c r="CN427" s="88" t="str">
        <f t="shared" si="26"/>
        <v/>
      </c>
      <c r="CO427" s="88" t="str">
        <f t="shared" si="15"/>
        <v/>
      </c>
      <c r="CP427" s="88" t="str">
        <f t="shared" si="16"/>
        <v/>
      </c>
      <c r="CQ427" s="88" t="str">
        <f t="shared" si="17"/>
        <v/>
      </c>
      <c r="CR427" s="88" t="str">
        <f t="shared" si="18"/>
        <v/>
      </c>
      <c r="CS427" s="88" t="str">
        <f t="shared" si="19"/>
        <v/>
      </c>
      <c r="CT427" s="88" t="str">
        <f t="shared" si="20"/>
        <v/>
      </c>
      <c r="CU427" s="88" t="str">
        <f t="shared" si="21"/>
        <v/>
      </c>
      <c r="CV427" s="88" t="str">
        <f t="shared" si="22"/>
        <v/>
      </c>
      <c r="CW427" s="88" t="str">
        <f t="shared" si="23"/>
        <v/>
      </c>
      <c r="CX427" s="7"/>
      <c r="CY427" s="7"/>
      <c r="CZ427" s="7"/>
      <c r="DA427" s="8"/>
      <c r="DU427" s="104" t="str">
        <f t="shared" si="24"/>
        <v/>
      </c>
      <c r="DV427" s="93" t="str">
        <f>ABA!$A427</f>
        <v/>
      </c>
      <c r="DW427" s="82" t="str">
        <f t="shared" si="25"/>
        <v/>
      </c>
    </row>
    <row r="428" ht="15.75" customHeight="1">
      <c r="A428" s="85"/>
      <c r="B428" s="107"/>
      <c r="C428" s="98"/>
      <c r="D428" s="98"/>
      <c r="E428" s="99"/>
      <c r="F428" s="98"/>
      <c r="G428" s="98"/>
      <c r="H428" s="98"/>
      <c r="I428" s="99"/>
      <c r="J428" s="98"/>
      <c r="K428" s="98"/>
      <c r="L428" s="98"/>
      <c r="M428" s="99"/>
      <c r="N428" s="98"/>
      <c r="O428" s="98"/>
      <c r="P428" s="98"/>
      <c r="Q428" s="99"/>
      <c r="R428" s="98"/>
      <c r="S428" s="98"/>
      <c r="T428" s="98"/>
      <c r="U428" s="99"/>
      <c r="V428" s="98"/>
      <c r="W428" s="98"/>
      <c r="X428" s="98"/>
      <c r="Y428" s="100"/>
      <c r="Z428" s="98"/>
      <c r="AA428" s="98"/>
      <c r="AB428" s="98"/>
      <c r="AC428" s="99"/>
      <c r="AD428" s="98"/>
      <c r="AE428" s="98"/>
      <c r="AF428" s="98"/>
      <c r="AG428" s="99"/>
      <c r="AH428" s="98"/>
      <c r="AI428" s="98"/>
      <c r="AJ428" s="98"/>
      <c r="AK428" s="99"/>
      <c r="AL428" s="98"/>
      <c r="AM428" s="98"/>
      <c r="AN428" s="98"/>
      <c r="AO428" s="98"/>
      <c r="AP428" s="84" t="str">
        <f t="shared" si="2"/>
        <v/>
      </c>
      <c r="AQ428" s="9"/>
      <c r="AR428" s="9"/>
      <c r="AS428" s="8"/>
      <c r="AT428" s="9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8"/>
      <c r="BX428" s="9"/>
      <c r="BY428" s="9"/>
      <c r="BZ428" s="9"/>
      <c r="CA428" s="33"/>
      <c r="CB428" s="85" t="str">
        <f t="shared" si="3"/>
        <v/>
      </c>
      <c r="CC428" s="86" t="str">
        <f t="shared" si="4"/>
        <v/>
      </c>
      <c r="CD428" s="86" t="str">
        <f t="shared" si="5"/>
        <v/>
      </c>
      <c r="CE428" s="86" t="str">
        <f t="shared" si="6"/>
        <v/>
      </c>
      <c r="CF428" s="86" t="str">
        <f t="shared" si="7"/>
        <v/>
      </c>
      <c r="CG428" s="86" t="str">
        <f t="shared" si="8"/>
        <v/>
      </c>
      <c r="CH428" s="86" t="str">
        <f t="shared" si="9"/>
        <v/>
      </c>
      <c r="CI428" s="86" t="str">
        <f t="shared" si="10"/>
        <v/>
      </c>
      <c r="CJ428" s="86" t="str">
        <f t="shared" si="11"/>
        <v/>
      </c>
      <c r="CK428" s="86" t="str">
        <f t="shared" si="12"/>
        <v/>
      </c>
      <c r="CL428" s="86" t="str">
        <f t="shared" si="13"/>
        <v/>
      </c>
      <c r="CM428" s="87" t="str">
        <f t="shared" si="14"/>
        <v/>
      </c>
      <c r="CN428" s="88" t="str">
        <f t="shared" si="26"/>
        <v/>
      </c>
      <c r="CO428" s="88" t="str">
        <f t="shared" si="15"/>
        <v/>
      </c>
      <c r="CP428" s="88" t="str">
        <f t="shared" si="16"/>
        <v/>
      </c>
      <c r="CQ428" s="88" t="str">
        <f t="shared" si="17"/>
        <v/>
      </c>
      <c r="CR428" s="88" t="str">
        <f t="shared" si="18"/>
        <v/>
      </c>
      <c r="CS428" s="88" t="str">
        <f t="shared" si="19"/>
        <v/>
      </c>
      <c r="CT428" s="88" t="str">
        <f t="shared" si="20"/>
        <v/>
      </c>
      <c r="CU428" s="88" t="str">
        <f t="shared" si="21"/>
        <v/>
      </c>
      <c r="CV428" s="88" t="str">
        <f t="shared" si="22"/>
        <v/>
      </c>
      <c r="CW428" s="88" t="str">
        <f t="shared" si="23"/>
        <v/>
      </c>
      <c r="CX428" s="7"/>
      <c r="CY428" s="7"/>
      <c r="CZ428" s="7"/>
      <c r="DA428" s="8"/>
      <c r="DU428" s="93" t="str">
        <f t="shared" si="24"/>
        <v/>
      </c>
      <c r="DV428" s="104" t="str">
        <f>ABA!$A428</f>
        <v/>
      </c>
      <c r="DW428" s="98" t="str">
        <f t="shared" si="25"/>
        <v/>
      </c>
    </row>
    <row r="429" ht="15.75" customHeight="1">
      <c r="A429" s="78"/>
      <c r="B429" s="105"/>
      <c r="C429" s="82"/>
      <c r="D429" s="82"/>
      <c r="E429" s="83"/>
      <c r="F429" s="82"/>
      <c r="G429" s="82"/>
      <c r="H429" s="82"/>
      <c r="I429" s="83"/>
      <c r="J429" s="82"/>
      <c r="K429" s="82"/>
      <c r="L429" s="82"/>
      <c r="M429" s="83"/>
      <c r="N429" s="82"/>
      <c r="O429" s="82"/>
      <c r="P429" s="82"/>
      <c r="Q429" s="83"/>
      <c r="R429" s="82"/>
      <c r="S429" s="82"/>
      <c r="T429" s="82"/>
      <c r="U429" s="83"/>
      <c r="V429" s="82"/>
      <c r="W429" s="82"/>
      <c r="X429" s="82"/>
      <c r="Y429" s="83"/>
      <c r="Z429" s="82"/>
      <c r="AA429" s="82"/>
      <c r="AB429" s="82"/>
      <c r="AC429" s="83"/>
      <c r="AD429" s="82"/>
      <c r="AE429" s="82"/>
      <c r="AF429" s="82"/>
      <c r="AG429" s="83"/>
      <c r="AH429" s="82"/>
      <c r="AI429" s="82"/>
      <c r="AJ429" s="82"/>
      <c r="AK429" s="83"/>
      <c r="AL429" s="82"/>
      <c r="AM429" s="82"/>
      <c r="AN429" s="82"/>
      <c r="AO429" s="82"/>
      <c r="AP429" s="84" t="str">
        <f t="shared" si="2"/>
        <v/>
      </c>
      <c r="AQ429" s="9"/>
      <c r="AR429" s="9"/>
      <c r="AS429" s="8"/>
      <c r="AT429" s="9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8"/>
      <c r="BX429" s="9"/>
      <c r="BY429" s="9"/>
      <c r="BZ429" s="9"/>
      <c r="CA429" s="33"/>
      <c r="CB429" s="85" t="str">
        <f t="shared" si="3"/>
        <v/>
      </c>
      <c r="CC429" s="86" t="str">
        <f t="shared" si="4"/>
        <v/>
      </c>
      <c r="CD429" s="86" t="str">
        <f t="shared" si="5"/>
        <v/>
      </c>
      <c r="CE429" s="86" t="str">
        <f t="shared" si="6"/>
        <v/>
      </c>
      <c r="CF429" s="86" t="str">
        <f t="shared" si="7"/>
        <v/>
      </c>
      <c r="CG429" s="86" t="str">
        <f t="shared" si="8"/>
        <v/>
      </c>
      <c r="CH429" s="86" t="str">
        <f t="shared" si="9"/>
        <v/>
      </c>
      <c r="CI429" s="86" t="str">
        <f t="shared" si="10"/>
        <v/>
      </c>
      <c r="CJ429" s="86" t="str">
        <f t="shared" si="11"/>
        <v/>
      </c>
      <c r="CK429" s="86" t="str">
        <f t="shared" si="12"/>
        <v/>
      </c>
      <c r="CL429" s="86" t="str">
        <f t="shared" si="13"/>
        <v/>
      </c>
      <c r="CM429" s="87" t="str">
        <f t="shared" si="14"/>
        <v/>
      </c>
      <c r="CN429" s="88" t="str">
        <f t="shared" si="26"/>
        <v/>
      </c>
      <c r="CO429" s="88" t="str">
        <f t="shared" si="15"/>
        <v/>
      </c>
      <c r="CP429" s="88" t="str">
        <f t="shared" si="16"/>
        <v/>
      </c>
      <c r="CQ429" s="88" t="str">
        <f t="shared" si="17"/>
        <v/>
      </c>
      <c r="CR429" s="88" t="str">
        <f t="shared" si="18"/>
        <v/>
      </c>
      <c r="CS429" s="88" t="str">
        <f t="shared" si="19"/>
        <v/>
      </c>
      <c r="CT429" s="88" t="str">
        <f t="shared" si="20"/>
        <v/>
      </c>
      <c r="CU429" s="88" t="str">
        <f t="shared" si="21"/>
        <v/>
      </c>
      <c r="CV429" s="88" t="str">
        <f t="shared" si="22"/>
        <v/>
      </c>
      <c r="CW429" s="88" t="str">
        <f t="shared" si="23"/>
        <v/>
      </c>
      <c r="CX429" s="7"/>
      <c r="CY429" s="7"/>
      <c r="CZ429" s="7"/>
      <c r="DA429" s="8"/>
      <c r="DU429" s="104" t="str">
        <f t="shared" si="24"/>
        <v/>
      </c>
      <c r="DV429" s="93" t="str">
        <f>ABA!$A429</f>
        <v/>
      </c>
      <c r="DW429" s="82" t="str">
        <f t="shared" si="25"/>
        <v/>
      </c>
    </row>
    <row r="430" ht="15.75" customHeight="1">
      <c r="A430" s="85"/>
      <c r="B430" s="107"/>
      <c r="C430" s="98"/>
      <c r="D430" s="98"/>
      <c r="E430" s="99"/>
      <c r="F430" s="98"/>
      <c r="G430" s="98"/>
      <c r="H430" s="98"/>
      <c r="I430" s="99"/>
      <c r="J430" s="98"/>
      <c r="K430" s="98"/>
      <c r="L430" s="98"/>
      <c r="M430" s="99"/>
      <c r="N430" s="98"/>
      <c r="O430" s="98"/>
      <c r="P430" s="98"/>
      <c r="Q430" s="99"/>
      <c r="R430" s="98"/>
      <c r="S430" s="98"/>
      <c r="T430" s="98"/>
      <c r="U430" s="99"/>
      <c r="V430" s="98"/>
      <c r="W430" s="98"/>
      <c r="X430" s="98"/>
      <c r="Y430" s="100"/>
      <c r="Z430" s="98"/>
      <c r="AA430" s="98"/>
      <c r="AB430" s="98"/>
      <c r="AC430" s="99"/>
      <c r="AD430" s="98"/>
      <c r="AE430" s="98"/>
      <c r="AF430" s="98"/>
      <c r="AG430" s="99"/>
      <c r="AH430" s="98"/>
      <c r="AI430" s="98"/>
      <c r="AJ430" s="98"/>
      <c r="AK430" s="99"/>
      <c r="AL430" s="98"/>
      <c r="AM430" s="98"/>
      <c r="AN430" s="98"/>
      <c r="AO430" s="98"/>
      <c r="AP430" s="84" t="str">
        <f t="shared" si="2"/>
        <v/>
      </c>
      <c r="AQ430" s="9"/>
      <c r="AR430" s="9"/>
      <c r="AS430" s="8"/>
      <c r="AT430" s="9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8"/>
      <c r="BX430" s="9"/>
      <c r="BY430" s="9"/>
      <c r="BZ430" s="9"/>
      <c r="CA430" s="33"/>
      <c r="CB430" s="85" t="str">
        <f t="shared" si="3"/>
        <v/>
      </c>
      <c r="CC430" s="86" t="str">
        <f t="shared" si="4"/>
        <v/>
      </c>
      <c r="CD430" s="86" t="str">
        <f t="shared" si="5"/>
        <v/>
      </c>
      <c r="CE430" s="86" t="str">
        <f t="shared" si="6"/>
        <v/>
      </c>
      <c r="CF430" s="86" t="str">
        <f t="shared" si="7"/>
        <v/>
      </c>
      <c r="CG430" s="86" t="str">
        <f t="shared" si="8"/>
        <v/>
      </c>
      <c r="CH430" s="86" t="str">
        <f t="shared" si="9"/>
        <v/>
      </c>
      <c r="CI430" s="86" t="str">
        <f t="shared" si="10"/>
        <v/>
      </c>
      <c r="CJ430" s="86" t="str">
        <f t="shared" si="11"/>
        <v/>
      </c>
      <c r="CK430" s="86" t="str">
        <f t="shared" si="12"/>
        <v/>
      </c>
      <c r="CL430" s="86" t="str">
        <f t="shared" si="13"/>
        <v/>
      </c>
      <c r="CM430" s="87" t="str">
        <f t="shared" si="14"/>
        <v/>
      </c>
      <c r="CN430" s="88" t="str">
        <f t="shared" si="26"/>
        <v/>
      </c>
      <c r="CO430" s="88" t="str">
        <f t="shared" si="15"/>
        <v/>
      </c>
      <c r="CP430" s="88" t="str">
        <f t="shared" si="16"/>
        <v/>
      </c>
      <c r="CQ430" s="88" t="str">
        <f t="shared" si="17"/>
        <v/>
      </c>
      <c r="CR430" s="88" t="str">
        <f t="shared" si="18"/>
        <v/>
      </c>
      <c r="CS430" s="88" t="str">
        <f t="shared" si="19"/>
        <v/>
      </c>
      <c r="CT430" s="88" t="str">
        <f t="shared" si="20"/>
        <v/>
      </c>
      <c r="CU430" s="88" t="str">
        <f t="shared" si="21"/>
        <v/>
      </c>
      <c r="CV430" s="88" t="str">
        <f t="shared" si="22"/>
        <v/>
      </c>
      <c r="CW430" s="88" t="str">
        <f t="shared" si="23"/>
        <v/>
      </c>
      <c r="CX430" s="7"/>
      <c r="CY430" s="7"/>
      <c r="CZ430" s="7"/>
      <c r="DA430" s="8"/>
      <c r="DU430" s="93" t="str">
        <f t="shared" si="24"/>
        <v/>
      </c>
      <c r="DV430" s="104" t="str">
        <f>ABA!$A430</f>
        <v/>
      </c>
      <c r="DW430" s="98" t="str">
        <f t="shared" si="25"/>
        <v/>
      </c>
    </row>
    <row r="431" ht="15.75" customHeight="1">
      <c r="A431" s="78"/>
      <c r="B431" s="105"/>
      <c r="C431" s="82"/>
      <c r="D431" s="82"/>
      <c r="E431" s="83"/>
      <c r="F431" s="82"/>
      <c r="G431" s="82"/>
      <c r="H431" s="82"/>
      <c r="I431" s="83"/>
      <c r="J431" s="82"/>
      <c r="K431" s="82"/>
      <c r="L431" s="82"/>
      <c r="M431" s="83"/>
      <c r="N431" s="82"/>
      <c r="O431" s="82"/>
      <c r="P431" s="82"/>
      <c r="Q431" s="83"/>
      <c r="R431" s="82"/>
      <c r="S431" s="82"/>
      <c r="T431" s="82"/>
      <c r="U431" s="83"/>
      <c r="V431" s="82"/>
      <c r="W431" s="82"/>
      <c r="X431" s="82"/>
      <c r="Y431" s="83"/>
      <c r="Z431" s="82"/>
      <c r="AA431" s="82"/>
      <c r="AB431" s="82"/>
      <c r="AC431" s="83"/>
      <c r="AD431" s="82"/>
      <c r="AE431" s="82"/>
      <c r="AF431" s="82"/>
      <c r="AG431" s="83"/>
      <c r="AH431" s="82"/>
      <c r="AI431" s="82"/>
      <c r="AJ431" s="82"/>
      <c r="AK431" s="83"/>
      <c r="AL431" s="82"/>
      <c r="AM431" s="82"/>
      <c r="AN431" s="82"/>
      <c r="AO431" s="82"/>
      <c r="AP431" s="84" t="str">
        <f t="shared" si="2"/>
        <v/>
      </c>
      <c r="AQ431" s="9"/>
      <c r="AR431" s="9"/>
      <c r="AS431" s="8"/>
      <c r="AT431" s="9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8"/>
      <c r="BX431" s="9"/>
      <c r="BY431" s="9"/>
      <c r="BZ431" s="9"/>
      <c r="CA431" s="33"/>
      <c r="CB431" s="85" t="str">
        <f t="shared" si="3"/>
        <v/>
      </c>
      <c r="CC431" s="86" t="str">
        <f t="shared" si="4"/>
        <v/>
      </c>
      <c r="CD431" s="86" t="str">
        <f t="shared" si="5"/>
        <v/>
      </c>
      <c r="CE431" s="86" t="str">
        <f t="shared" si="6"/>
        <v/>
      </c>
      <c r="CF431" s="86" t="str">
        <f t="shared" si="7"/>
        <v/>
      </c>
      <c r="CG431" s="86" t="str">
        <f t="shared" si="8"/>
        <v/>
      </c>
      <c r="CH431" s="86" t="str">
        <f t="shared" si="9"/>
        <v/>
      </c>
      <c r="CI431" s="86" t="str">
        <f t="shared" si="10"/>
        <v/>
      </c>
      <c r="CJ431" s="86" t="str">
        <f t="shared" si="11"/>
        <v/>
      </c>
      <c r="CK431" s="86" t="str">
        <f t="shared" si="12"/>
        <v/>
      </c>
      <c r="CL431" s="86" t="str">
        <f t="shared" si="13"/>
        <v/>
      </c>
      <c r="CM431" s="87" t="str">
        <f t="shared" si="14"/>
        <v/>
      </c>
      <c r="CN431" s="88" t="str">
        <f t="shared" si="26"/>
        <v/>
      </c>
      <c r="CO431" s="88" t="str">
        <f t="shared" si="15"/>
        <v/>
      </c>
      <c r="CP431" s="88" t="str">
        <f t="shared" si="16"/>
        <v/>
      </c>
      <c r="CQ431" s="88" t="str">
        <f t="shared" si="17"/>
        <v/>
      </c>
      <c r="CR431" s="88" t="str">
        <f t="shared" si="18"/>
        <v/>
      </c>
      <c r="CS431" s="88" t="str">
        <f t="shared" si="19"/>
        <v/>
      </c>
      <c r="CT431" s="88" t="str">
        <f t="shared" si="20"/>
        <v/>
      </c>
      <c r="CU431" s="88" t="str">
        <f t="shared" si="21"/>
        <v/>
      </c>
      <c r="CV431" s="88" t="str">
        <f t="shared" si="22"/>
        <v/>
      </c>
      <c r="CW431" s="88" t="str">
        <f t="shared" si="23"/>
        <v/>
      </c>
      <c r="CX431" s="7"/>
      <c r="CY431" s="7"/>
      <c r="CZ431" s="7"/>
      <c r="DA431" s="8"/>
      <c r="DU431" s="104" t="str">
        <f t="shared" si="24"/>
        <v/>
      </c>
      <c r="DV431" s="93" t="str">
        <f>ABA!$A431</f>
        <v/>
      </c>
      <c r="DW431" s="82" t="str">
        <f t="shared" si="25"/>
        <v/>
      </c>
    </row>
    <row r="432" ht="15.75" customHeight="1">
      <c r="A432" s="85"/>
      <c r="B432" s="107"/>
      <c r="C432" s="98"/>
      <c r="D432" s="98"/>
      <c r="E432" s="99"/>
      <c r="F432" s="98"/>
      <c r="G432" s="98"/>
      <c r="H432" s="98"/>
      <c r="I432" s="99"/>
      <c r="J432" s="98"/>
      <c r="K432" s="98"/>
      <c r="L432" s="98"/>
      <c r="M432" s="99"/>
      <c r="N432" s="98"/>
      <c r="O432" s="98"/>
      <c r="P432" s="98"/>
      <c r="Q432" s="99"/>
      <c r="R432" s="98"/>
      <c r="S432" s="98"/>
      <c r="T432" s="98"/>
      <c r="U432" s="99"/>
      <c r="V432" s="98"/>
      <c r="W432" s="98"/>
      <c r="X432" s="98"/>
      <c r="Y432" s="100"/>
      <c r="Z432" s="98"/>
      <c r="AA432" s="98"/>
      <c r="AB432" s="98"/>
      <c r="AC432" s="99"/>
      <c r="AD432" s="98"/>
      <c r="AE432" s="98"/>
      <c r="AF432" s="98"/>
      <c r="AG432" s="99"/>
      <c r="AH432" s="98"/>
      <c r="AI432" s="98"/>
      <c r="AJ432" s="98"/>
      <c r="AK432" s="99"/>
      <c r="AL432" s="98"/>
      <c r="AM432" s="98"/>
      <c r="AN432" s="98"/>
      <c r="AO432" s="98"/>
      <c r="AP432" s="84" t="str">
        <f t="shared" si="2"/>
        <v/>
      </c>
      <c r="AQ432" s="9"/>
      <c r="AR432" s="9"/>
      <c r="AS432" s="8"/>
      <c r="AT432" s="9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8"/>
      <c r="BX432" s="9"/>
      <c r="BY432" s="9"/>
      <c r="BZ432" s="9"/>
      <c r="CA432" s="33"/>
      <c r="CB432" s="85" t="str">
        <f t="shared" si="3"/>
        <v/>
      </c>
      <c r="CC432" s="86" t="str">
        <f t="shared" si="4"/>
        <v/>
      </c>
      <c r="CD432" s="86" t="str">
        <f t="shared" si="5"/>
        <v/>
      </c>
      <c r="CE432" s="86" t="str">
        <f t="shared" si="6"/>
        <v/>
      </c>
      <c r="CF432" s="86" t="str">
        <f t="shared" si="7"/>
        <v/>
      </c>
      <c r="CG432" s="86" t="str">
        <f t="shared" si="8"/>
        <v/>
      </c>
      <c r="CH432" s="86" t="str">
        <f t="shared" si="9"/>
        <v/>
      </c>
      <c r="CI432" s="86" t="str">
        <f t="shared" si="10"/>
        <v/>
      </c>
      <c r="CJ432" s="86" t="str">
        <f t="shared" si="11"/>
        <v/>
      </c>
      <c r="CK432" s="86" t="str">
        <f t="shared" si="12"/>
        <v/>
      </c>
      <c r="CL432" s="86" t="str">
        <f t="shared" si="13"/>
        <v/>
      </c>
      <c r="CM432" s="87" t="str">
        <f t="shared" si="14"/>
        <v/>
      </c>
      <c r="CN432" s="88" t="str">
        <f t="shared" si="26"/>
        <v/>
      </c>
      <c r="CO432" s="88" t="str">
        <f t="shared" si="15"/>
        <v/>
      </c>
      <c r="CP432" s="88" t="str">
        <f t="shared" si="16"/>
        <v/>
      </c>
      <c r="CQ432" s="88" t="str">
        <f t="shared" si="17"/>
        <v/>
      </c>
      <c r="CR432" s="88" t="str">
        <f t="shared" si="18"/>
        <v/>
      </c>
      <c r="CS432" s="88" t="str">
        <f t="shared" si="19"/>
        <v/>
      </c>
      <c r="CT432" s="88" t="str">
        <f t="shared" si="20"/>
        <v/>
      </c>
      <c r="CU432" s="88" t="str">
        <f t="shared" si="21"/>
        <v/>
      </c>
      <c r="CV432" s="88" t="str">
        <f t="shared" si="22"/>
        <v/>
      </c>
      <c r="CW432" s="88" t="str">
        <f t="shared" si="23"/>
        <v/>
      </c>
      <c r="CX432" s="7"/>
      <c r="CY432" s="7"/>
      <c r="CZ432" s="7"/>
      <c r="DA432" s="8"/>
      <c r="DU432" s="93" t="str">
        <f t="shared" si="24"/>
        <v/>
      </c>
      <c r="DV432" s="104" t="str">
        <f>ABA!$A432</f>
        <v/>
      </c>
      <c r="DW432" s="98" t="str">
        <f t="shared" si="25"/>
        <v/>
      </c>
    </row>
    <row r="433" ht="15.75" customHeight="1">
      <c r="A433" s="78"/>
      <c r="B433" s="105"/>
      <c r="C433" s="82"/>
      <c r="D433" s="82"/>
      <c r="E433" s="83"/>
      <c r="F433" s="82"/>
      <c r="G433" s="82"/>
      <c r="H433" s="82"/>
      <c r="I433" s="83"/>
      <c r="J433" s="82"/>
      <c r="K433" s="82"/>
      <c r="L433" s="82"/>
      <c r="M433" s="83"/>
      <c r="N433" s="82"/>
      <c r="O433" s="82"/>
      <c r="P433" s="82"/>
      <c r="Q433" s="83"/>
      <c r="R433" s="82"/>
      <c r="S433" s="82"/>
      <c r="T433" s="82"/>
      <c r="U433" s="83"/>
      <c r="V433" s="82"/>
      <c r="W433" s="82"/>
      <c r="X433" s="82"/>
      <c r="Y433" s="83"/>
      <c r="Z433" s="82"/>
      <c r="AA433" s="82"/>
      <c r="AB433" s="82"/>
      <c r="AC433" s="83"/>
      <c r="AD433" s="82"/>
      <c r="AE433" s="82"/>
      <c r="AF433" s="82"/>
      <c r="AG433" s="83"/>
      <c r="AH433" s="82"/>
      <c r="AI433" s="82"/>
      <c r="AJ433" s="82"/>
      <c r="AK433" s="83"/>
      <c r="AL433" s="82"/>
      <c r="AM433" s="82"/>
      <c r="AN433" s="82"/>
      <c r="AO433" s="82"/>
      <c r="AP433" s="84" t="str">
        <f t="shared" si="2"/>
        <v/>
      </c>
      <c r="AQ433" s="9"/>
      <c r="AR433" s="9"/>
      <c r="AS433" s="8"/>
      <c r="AT433" s="9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8"/>
      <c r="BX433" s="9"/>
      <c r="BY433" s="9"/>
      <c r="BZ433" s="9"/>
      <c r="CA433" s="33"/>
      <c r="CB433" s="85" t="str">
        <f t="shared" si="3"/>
        <v/>
      </c>
      <c r="CC433" s="86" t="str">
        <f t="shared" si="4"/>
        <v/>
      </c>
      <c r="CD433" s="86" t="str">
        <f t="shared" si="5"/>
        <v/>
      </c>
      <c r="CE433" s="86" t="str">
        <f t="shared" si="6"/>
        <v/>
      </c>
      <c r="CF433" s="86" t="str">
        <f t="shared" si="7"/>
        <v/>
      </c>
      <c r="CG433" s="86" t="str">
        <f t="shared" si="8"/>
        <v/>
      </c>
      <c r="CH433" s="86" t="str">
        <f t="shared" si="9"/>
        <v/>
      </c>
      <c r="CI433" s="86" t="str">
        <f t="shared" si="10"/>
        <v/>
      </c>
      <c r="CJ433" s="86" t="str">
        <f t="shared" si="11"/>
        <v/>
      </c>
      <c r="CK433" s="86" t="str">
        <f t="shared" si="12"/>
        <v/>
      </c>
      <c r="CL433" s="86" t="str">
        <f t="shared" si="13"/>
        <v/>
      </c>
      <c r="CM433" s="87" t="str">
        <f t="shared" si="14"/>
        <v/>
      </c>
      <c r="CN433" s="88" t="str">
        <f t="shared" si="26"/>
        <v/>
      </c>
      <c r="CO433" s="88" t="str">
        <f t="shared" si="15"/>
        <v/>
      </c>
      <c r="CP433" s="88" t="str">
        <f t="shared" si="16"/>
        <v/>
      </c>
      <c r="CQ433" s="88" t="str">
        <f t="shared" si="17"/>
        <v/>
      </c>
      <c r="CR433" s="88" t="str">
        <f t="shared" si="18"/>
        <v/>
      </c>
      <c r="CS433" s="88" t="str">
        <f t="shared" si="19"/>
        <v/>
      </c>
      <c r="CT433" s="88" t="str">
        <f t="shared" si="20"/>
        <v/>
      </c>
      <c r="CU433" s="88" t="str">
        <f t="shared" si="21"/>
        <v/>
      </c>
      <c r="CV433" s="88" t="str">
        <f t="shared" si="22"/>
        <v/>
      </c>
      <c r="CW433" s="88" t="str">
        <f t="shared" si="23"/>
        <v/>
      </c>
      <c r="CX433" s="7"/>
      <c r="CY433" s="7"/>
      <c r="CZ433" s="7"/>
      <c r="DA433" s="8"/>
      <c r="DU433" s="104" t="str">
        <f t="shared" si="24"/>
        <v/>
      </c>
      <c r="DV433" s="93" t="str">
        <f>ABA!$A433</f>
        <v/>
      </c>
      <c r="DW433" s="82" t="str">
        <f t="shared" si="25"/>
        <v/>
      </c>
    </row>
    <row r="434" ht="15.75" customHeight="1">
      <c r="A434" s="85"/>
      <c r="B434" s="107"/>
      <c r="C434" s="98"/>
      <c r="D434" s="98"/>
      <c r="E434" s="99"/>
      <c r="F434" s="98"/>
      <c r="G434" s="98"/>
      <c r="H434" s="98"/>
      <c r="I434" s="99"/>
      <c r="J434" s="98"/>
      <c r="K434" s="98"/>
      <c r="L434" s="98"/>
      <c r="M434" s="99"/>
      <c r="N434" s="98"/>
      <c r="O434" s="98"/>
      <c r="P434" s="98"/>
      <c r="Q434" s="99"/>
      <c r="R434" s="98"/>
      <c r="S434" s="98"/>
      <c r="T434" s="98"/>
      <c r="U434" s="99"/>
      <c r="V434" s="98"/>
      <c r="W434" s="98"/>
      <c r="X434" s="98"/>
      <c r="Y434" s="100"/>
      <c r="Z434" s="98"/>
      <c r="AA434" s="98"/>
      <c r="AB434" s="98"/>
      <c r="AC434" s="99"/>
      <c r="AD434" s="98"/>
      <c r="AE434" s="98"/>
      <c r="AF434" s="98"/>
      <c r="AG434" s="99"/>
      <c r="AH434" s="98"/>
      <c r="AI434" s="98"/>
      <c r="AJ434" s="98"/>
      <c r="AK434" s="99"/>
      <c r="AL434" s="98"/>
      <c r="AM434" s="98"/>
      <c r="AN434" s="98"/>
      <c r="AO434" s="98"/>
      <c r="AP434" s="84" t="str">
        <f t="shared" si="2"/>
        <v/>
      </c>
      <c r="AQ434" s="9"/>
      <c r="AR434" s="9"/>
      <c r="AS434" s="8"/>
      <c r="AT434" s="9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8"/>
      <c r="BX434" s="9"/>
      <c r="BY434" s="9"/>
      <c r="BZ434" s="9"/>
      <c r="CA434" s="33"/>
      <c r="CB434" s="85" t="str">
        <f t="shared" si="3"/>
        <v/>
      </c>
      <c r="CC434" s="86" t="str">
        <f t="shared" si="4"/>
        <v/>
      </c>
      <c r="CD434" s="86" t="str">
        <f t="shared" si="5"/>
        <v/>
      </c>
      <c r="CE434" s="86" t="str">
        <f t="shared" si="6"/>
        <v/>
      </c>
      <c r="CF434" s="86" t="str">
        <f t="shared" si="7"/>
        <v/>
      </c>
      <c r="CG434" s="86" t="str">
        <f t="shared" si="8"/>
        <v/>
      </c>
      <c r="CH434" s="86" t="str">
        <f t="shared" si="9"/>
        <v/>
      </c>
      <c r="CI434" s="86" t="str">
        <f t="shared" si="10"/>
        <v/>
      </c>
      <c r="CJ434" s="86" t="str">
        <f t="shared" si="11"/>
        <v/>
      </c>
      <c r="CK434" s="86" t="str">
        <f t="shared" si="12"/>
        <v/>
      </c>
      <c r="CL434" s="86" t="str">
        <f t="shared" si="13"/>
        <v/>
      </c>
      <c r="CM434" s="87" t="str">
        <f t="shared" si="14"/>
        <v/>
      </c>
      <c r="CN434" s="88" t="str">
        <f t="shared" si="26"/>
        <v/>
      </c>
      <c r="CO434" s="88" t="str">
        <f t="shared" si="15"/>
        <v/>
      </c>
      <c r="CP434" s="88" t="str">
        <f t="shared" si="16"/>
        <v/>
      </c>
      <c r="CQ434" s="88" t="str">
        <f t="shared" si="17"/>
        <v/>
      </c>
      <c r="CR434" s="88" t="str">
        <f t="shared" si="18"/>
        <v/>
      </c>
      <c r="CS434" s="88" t="str">
        <f t="shared" si="19"/>
        <v/>
      </c>
      <c r="CT434" s="88" t="str">
        <f t="shared" si="20"/>
        <v/>
      </c>
      <c r="CU434" s="88" t="str">
        <f t="shared" si="21"/>
        <v/>
      </c>
      <c r="CV434" s="88" t="str">
        <f t="shared" si="22"/>
        <v/>
      </c>
      <c r="CW434" s="88" t="str">
        <f t="shared" si="23"/>
        <v/>
      </c>
      <c r="CX434" s="7"/>
      <c r="CY434" s="7"/>
      <c r="CZ434" s="7"/>
      <c r="DA434" s="8"/>
      <c r="DU434" s="93" t="str">
        <f t="shared" si="24"/>
        <v/>
      </c>
      <c r="DV434" s="104" t="str">
        <f>ABA!$A434</f>
        <v/>
      </c>
      <c r="DW434" s="98" t="str">
        <f t="shared" si="25"/>
        <v/>
      </c>
    </row>
    <row r="435" ht="15.75" customHeight="1">
      <c r="A435" s="78"/>
      <c r="B435" s="105"/>
      <c r="C435" s="82"/>
      <c r="D435" s="82"/>
      <c r="E435" s="83"/>
      <c r="F435" s="82"/>
      <c r="G435" s="82"/>
      <c r="H435" s="82"/>
      <c r="I435" s="83"/>
      <c r="J435" s="82"/>
      <c r="K435" s="82"/>
      <c r="L435" s="82"/>
      <c r="M435" s="83"/>
      <c r="N435" s="82"/>
      <c r="O435" s="82"/>
      <c r="P435" s="82"/>
      <c r="Q435" s="83"/>
      <c r="R435" s="82"/>
      <c r="S435" s="82"/>
      <c r="T435" s="82"/>
      <c r="U435" s="83"/>
      <c r="V435" s="82"/>
      <c r="W435" s="82"/>
      <c r="X435" s="82"/>
      <c r="Y435" s="83"/>
      <c r="Z435" s="82"/>
      <c r="AA435" s="82"/>
      <c r="AB435" s="82"/>
      <c r="AC435" s="83"/>
      <c r="AD435" s="82"/>
      <c r="AE435" s="82"/>
      <c r="AF435" s="82"/>
      <c r="AG435" s="83"/>
      <c r="AH435" s="82"/>
      <c r="AI435" s="82"/>
      <c r="AJ435" s="82"/>
      <c r="AK435" s="83"/>
      <c r="AL435" s="82"/>
      <c r="AM435" s="82"/>
      <c r="AN435" s="82"/>
      <c r="AO435" s="82"/>
      <c r="AP435" s="84" t="str">
        <f t="shared" si="2"/>
        <v/>
      </c>
      <c r="AQ435" s="9"/>
      <c r="AR435" s="9"/>
      <c r="AS435" s="8"/>
      <c r="AT435" s="9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8"/>
      <c r="BX435" s="9"/>
      <c r="BY435" s="9"/>
      <c r="BZ435" s="9"/>
      <c r="CA435" s="33"/>
      <c r="CB435" s="85" t="str">
        <f t="shared" si="3"/>
        <v/>
      </c>
      <c r="CC435" s="86" t="str">
        <f t="shared" si="4"/>
        <v/>
      </c>
      <c r="CD435" s="86" t="str">
        <f t="shared" si="5"/>
        <v/>
      </c>
      <c r="CE435" s="86" t="str">
        <f t="shared" si="6"/>
        <v/>
      </c>
      <c r="CF435" s="86" t="str">
        <f t="shared" si="7"/>
        <v/>
      </c>
      <c r="CG435" s="86" t="str">
        <f t="shared" si="8"/>
        <v/>
      </c>
      <c r="CH435" s="86" t="str">
        <f t="shared" si="9"/>
        <v/>
      </c>
      <c r="CI435" s="86" t="str">
        <f t="shared" si="10"/>
        <v/>
      </c>
      <c r="CJ435" s="86" t="str">
        <f t="shared" si="11"/>
        <v/>
      </c>
      <c r="CK435" s="86" t="str">
        <f t="shared" si="12"/>
        <v/>
      </c>
      <c r="CL435" s="86" t="str">
        <f t="shared" si="13"/>
        <v/>
      </c>
      <c r="CM435" s="87" t="str">
        <f t="shared" si="14"/>
        <v/>
      </c>
      <c r="CN435" s="88" t="str">
        <f t="shared" si="26"/>
        <v/>
      </c>
      <c r="CO435" s="88" t="str">
        <f t="shared" si="15"/>
        <v/>
      </c>
      <c r="CP435" s="88" t="str">
        <f t="shared" si="16"/>
        <v/>
      </c>
      <c r="CQ435" s="88" t="str">
        <f t="shared" si="17"/>
        <v/>
      </c>
      <c r="CR435" s="88" t="str">
        <f t="shared" si="18"/>
        <v/>
      </c>
      <c r="CS435" s="88" t="str">
        <f t="shared" si="19"/>
        <v/>
      </c>
      <c r="CT435" s="88" t="str">
        <f t="shared" si="20"/>
        <v/>
      </c>
      <c r="CU435" s="88" t="str">
        <f t="shared" si="21"/>
        <v/>
      </c>
      <c r="CV435" s="88" t="str">
        <f t="shared" si="22"/>
        <v/>
      </c>
      <c r="CW435" s="88" t="str">
        <f t="shared" si="23"/>
        <v/>
      </c>
      <c r="CX435" s="7"/>
      <c r="CY435" s="7"/>
      <c r="CZ435" s="7"/>
      <c r="DA435" s="8"/>
      <c r="DU435" s="104" t="str">
        <f t="shared" si="24"/>
        <v/>
      </c>
      <c r="DV435" s="93" t="str">
        <f>ABA!$A435</f>
        <v/>
      </c>
      <c r="DW435" s="82" t="str">
        <f t="shared" si="25"/>
        <v/>
      </c>
    </row>
    <row r="436" ht="15.75" customHeight="1">
      <c r="A436" s="85"/>
      <c r="B436" s="107"/>
      <c r="C436" s="98"/>
      <c r="D436" s="98"/>
      <c r="E436" s="99"/>
      <c r="F436" s="98"/>
      <c r="G436" s="98"/>
      <c r="H436" s="98"/>
      <c r="I436" s="99"/>
      <c r="J436" s="98"/>
      <c r="K436" s="98"/>
      <c r="L436" s="98"/>
      <c r="M436" s="99"/>
      <c r="N436" s="98"/>
      <c r="O436" s="98"/>
      <c r="P436" s="98"/>
      <c r="Q436" s="99"/>
      <c r="R436" s="98"/>
      <c r="S436" s="98"/>
      <c r="T436" s="98"/>
      <c r="U436" s="99"/>
      <c r="V436" s="98"/>
      <c r="W436" s="98"/>
      <c r="X436" s="98"/>
      <c r="Y436" s="100"/>
      <c r="Z436" s="98"/>
      <c r="AA436" s="98"/>
      <c r="AB436" s="98"/>
      <c r="AC436" s="99"/>
      <c r="AD436" s="98"/>
      <c r="AE436" s="98"/>
      <c r="AF436" s="98"/>
      <c r="AG436" s="99"/>
      <c r="AH436" s="98"/>
      <c r="AI436" s="98"/>
      <c r="AJ436" s="98"/>
      <c r="AK436" s="99"/>
      <c r="AL436" s="98"/>
      <c r="AM436" s="98"/>
      <c r="AN436" s="98"/>
      <c r="AO436" s="98"/>
      <c r="AP436" s="84" t="str">
        <f t="shared" si="2"/>
        <v/>
      </c>
      <c r="AQ436" s="9"/>
      <c r="AR436" s="9"/>
      <c r="AS436" s="8"/>
      <c r="AT436" s="9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8"/>
      <c r="BX436" s="9"/>
      <c r="BY436" s="9"/>
      <c r="BZ436" s="9"/>
      <c r="CA436" s="33"/>
      <c r="CB436" s="85" t="str">
        <f t="shared" si="3"/>
        <v/>
      </c>
      <c r="CC436" s="86" t="str">
        <f t="shared" si="4"/>
        <v/>
      </c>
      <c r="CD436" s="86" t="str">
        <f t="shared" si="5"/>
        <v/>
      </c>
      <c r="CE436" s="86" t="str">
        <f t="shared" si="6"/>
        <v/>
      </c>
      <c r="CF436" s="86" t="str">
        <f t="shared" si="7"/>
        <v/>
      </c>
      <c r="CG436" s="86" t="str">
        <f t="shared" si="8"/>
        <v/>
      </c>
      <c r="CH436" s="86" t="str">
        <f t="shared" si="9"/>
        <v/>
      </c>
      <c r="CI436" s="86" t="str">
        <f t="shared" si="10"/>
        <v/>
      </c>
      <c r="CJ436" s="86" t="str">
        <f t="shared" si="11"/>
        <v/>
      </c>
      <c r="CK436" s="86" t="str">
        <f t="shared" si="12"/>
        <v/>
      </c>
      <c r="CL436" s="86" t="str">
        <f t="shared" si="13"/>
        <v/>
      </c>
      <c r="CM436" s="87" t="str">
        <f t="shared" si="14"/>
        <v/>
      </c>
      <c r="CN436" s="88" t="str">
        <f t="shared" si="26"/>
        <v/>
      </c>
      <c r="CO436" s="88" t="str">
        <f t="shared" si="15"/>
        <v/>
      </c>
      <c r="CP436" s="88" t="str">
        <f t="shared" si="16"/>
        <v/>
      </c>
      <c r="CQ436" s="88" t="str">
        <f t="shared" si="17"/>
        <v/>
      </c>
      <c r="CR436" s="88" t="str">
        <f t="shared" si="18"/>
        <v/>
      </c>
      <c r="CS436" s="88" t="str">
        <f t="shared" si="19"/>
        <v/>
      </c>
      <c r="CT436" s="88" t="str">
        <f t="shared" si="20"/>
        <v/>
      </c>
      <c r="CU436" s="88" t="str">
        <f t="shared" si="21"/>
        <v/>
      </c>
      <c r="CV436" s="88" t="str">
        <f t="shared" si="22"/>
        <v/>
      </c>
      <c r="CW436" s="88" t="str">
        <f t="shared" si="23"/>
        <v/>
      </c>
      <c r="CX436" s="7"/>
      <c r="CY436" s="7"/>
      <c r="CZ436" s="7"/>
      <c r="DA436" s="8"/>
      <c r="DU436" s="93" t="str">
        <f t="shared" si="24"/>
        <v/>
      </c>
      <c r="DV436" s="104" t="str">
        <f>ABA!$A436</f>
        <v/>
      </c>
      <c r="DW436" s="98" t="str">
        <f t="shared" si="25"/>
        <v/>
      </c>
    </row>
    <row r="437" ht="15.75" customHeight="1">
      <c r="A437" s="78"/>
      <c r="B437" s="105"/>
      <c r="C437" s="82"/>
      <c r="D437" s="82"/>
      <c r="E437" s="83"/>
      <c r="F437" s="82"/>
      <c r="G437" s="82"/>
      <c r="H437" s="82"/>
      <c r="I437" s="83"/>
      <c r="J437" s="82"/>
      <c r="K437" s="82"/>
      <c r="L437" s="82"/>
      <c r="M437" s="83"/>
      <c r="N437" s="82"/>
      <c r="O437" s="82"/>
      <c r="P437" s="82"/>
      <c r="Q437" s="83"/>
      <c r="R437" s="82"/>
      <c r="S437" s="82"/>
      <c r="T437" s="82"/>
      <c r="U437" s="83"/>
      <c r="V437" s="82"/>
      <c r="W437" s="82"/>
      <c r="X437" s="82"/>
      <c r="Y437" s="83"/>
      <c r="Z437" s="82"/>
      <c r="AA437" s="82"/>
      <c r="AB437" s="82"/>
      <c r="AC437" s="83"/>
      <c r="AD437" s="82"/>
      <c r="AE437" s="82"/>
      <c r="AF437" s="82"/>
      <c r="AG437" s="83"/>
      <c r="AH437" s="82"/>
      <c r="AI437" s="82"/>
      <c r="AJ437" s="82"/>
      <c r="AK437" s="83"/>
      <c r="AL437" s="82"/>
      <c r="AM437" s="82"/>
      <c r="AN437" s="82"/>
      <c r="AO437" s="82"/>
      <c r="AP437" s="84" t="str">
        <f t="shared" si="2"/>
        <v/>
      </c>
      <c r="AQ437" s="9"/>
      <c r="AR437" s="9"/>
      <c r="AS437" s="8"/>
      <c r="AT437" s="9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8"/>
      <c r="BX437" s="9"/>
      <c r="BY437" s="9"/>
      <c r="BZ437" s="9"/>
      <c r="CA437" s="33"/>
      <c r="CB437" s="85" t="str">
        <f t="shared" si="3"/>
        <v/>
      </c>
      <c r="CC437" s="86" t="str">
        <f t="shared" si="4"/>
        <v/>
      </c>
      <c r="CD437" s="86" t="str">
        <f t="shared" si="5"/>
        <v/>
      </c>
      <c r="CE437" s="86" t="str">
        <f t="shared" si="6"/>
        <v/>
      </c>
      <c r="CF437" s="86" t="str">
        <f t="shared" si="7"/>
        <v/>
      </c>
      <c r="CG437" s="86" t="str">
        <f t="shared" si="8"/>
        <v/>
      </c>
      <c r="CH437" s="86" t="str">
        <f t="shared" si="9"/>
        <v/>
      </c>
      <c r="CI437" s="86" t="str">
        <f t="shared" si="10"/>
        <v/>
      </c>
      <c r="CJ437" s="86" t="str">
        <f t="shared" si="11"/>
        <v/>
      </c>
      <c r="CK437" s="86" t="str">
        <f t="shared" si="12"/>
        <v/>
      </c>
      <c r="CL437" s="86" t="str">
        <f t="shared" si="13"/>
        <v/>
      </c>
      <c r="CM437" s="87" t="str">
        <f t="shared" si="14"/>
        <v/>
      </c>
      <c r="CN437" s="88" t="str">
        <f t="shared" si="26"/>
        <v/>
      </c>
      <c r="CO437" s="88" t="str">
        <f t="shared" si="15"/>
        <v/>
      </c>
      <c r="CP437" s="88" t="str">
        <f t="shared" si="16"/>
        <v/>
      </c>
      <c r="CQ437" s="88" t="str">
        <f t="shared" si="17"/>
        <v/>
      </c>
      <c r="CR437" s="88" t="str">
        <f t="shared" si="18"/>
        <v/>
      </c>
      <c r="CS437" s="88" t="str">
        <f t="shared" si="19"/>
        <v/>
      </c>
      <c r="CT437" s="88" t="str">
        <f t="shared" si="20"/>
        <v/>
      </c>
      <c r="CU437" s="88" t="str">
        <f t="shared" si="21"/>
        <v/>
      </c>
      <c r="CV437" s="88" t="str">
        <f t="shared" si="22"/>
        <v/>
      </c>
      <c r="CW437" s="88" t="str">
        <f t="shared" si="23"/>
        <v/>
      </c>
      <c r="CX437" s="7"/>
      <c r="CY437" s="7"/>
      <c r="CZ437" s="7"/>
      <c r="DA437" s="8"/>
      <c r="DU437" s="104" t="str">
        <f t="shared" si="24"/>
        <v/>
      </c>
      <c r="DV437" s="93" t="str">
        <f>ABA!$A437</f>
        <v/>
      </c>
      <c r="DW437" s="82" t="str">
        <f t="shared" si="25"/>
        <v/>
      </c>
    </row>
    <row r="438" ht="15.75" customHeight="1">
      <c r="A438" s="85"/>
      <c r="B438" s="107"/>
      <c r="C438" s="98"/>
      <c r="D438" s="98"/>
      <c r="E438" s="99"/>
      <c r="F438" s="98"/>
      <c r="G438" s="98"/>
      <c r="H438" s="98"/>
      <c r="I438" s="99"/>
      <c r="J438" s="98"/>
      <c r="K438" s="98"/>
      <c r="L438" s="98"/>
      <c r="M438" s="99"/>
      <c r="N438" s="98"/>
      <c r="O438" s="98"/>
      <c r="P438" s="98"/>
      <c r="Q438" s="99"/>
      <c r="R438" s="98"/>
      <c r="S438" s="98"/>
      <c r="T438" s="98"/>
      <c r="U438" s="99"/>
      <c r="V438" s="98"/>
      <c r="W438" s="98"/>
      <c r="X438" s="98"/>
      <c r="Y438" s="100"/>
      <c r="Z438" s="98"/>
      <c r="AA438" s="98"/>
      <c r="AB438" s="98"/>
      <c r="AC438" s="99"/>
      <c r="AD438" s="98"/>
      <c r="AE438" s="98"/>
      <c r="AF438" s="98"/>
      <c r="AG438" s="99"/>
      <c r="AH438" s="98"/>
      <c r="AI438" s="98"/>
      <c r="AJ438" s="98"/>
      <c r="AK438" s="99"/>
      <c r="AL438" s="98"/>
      <c r="AM438" s="98"/>
      <c r="AN438" s="98"/>
      <c r="AO438" s="98"/>
      <c r="AP438" s="84" t="str">
        <f t="shared" si="2"/>
        <v/>
      </c>
      <c r="AQ438" s="9"/>
      <c r="AR438" s="9"/>
      <c r="AS438" s="8"/>
      <c r="AT438" s="9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8"/>
      <c r="BX438" s="9"/>
      <c r="BY438" s="9"/>
      <c r="BZ438" s="9"/>
      <c r="CA438" s="33"/>
      <c r="CB438" s="85" t="str">
        <f t="shared" si="3"/>
        <v/>
      </c>
      <c r="CC438" s="86" t="str">
        <f t="shared" si="4"/>
        <v/>
      </c>
      <c r="CD438" s="86" t="str">
        <f t="shared" si="5"/>
        <v/>
      </c>
      <c r="CE438" s="86" t="str">
        <f t="shared" si="6"/>
        <v/>
      </c>
      <c r="CF438" s="86" t="str">
        <f t="shared" si="7"/>
        <v/>
      </c>
      <c r="CG438" s="86" t="str">
        <f t="shared" si="8"/>
        <v/>
      </c>
      <c r="CH438" s="86" t="str">
        <f t="shared" si="9"/>
        <v/>
      </c>
      <c r="CI438" s="86" t="str">
        <f t="shared" si="10"/>
        <v/>
      </c>
      <c r="CJ438" s="86" t="str">
        <f t="shared" si="11"/>
        <v/>
      </c>
      <c r="CK438" s="86" t="str">
        <f t="shared" si="12"/>
        <v/>
      </c>
      <c r="CL438" s="86" t="str">
        <f t="shared" si="13"/>
        <v/>
      </c>
      <c r="CM438" s="87" t="str">
        <f t="shared" si="14"/>
        <v/>
      </c>
      <c r="CN438" s="88" t="str">
        <f t="shared" si="26"/>
        <v/>
      </c>
      <c r="CO438" s="88" t="str">
        <f t="shared" si="15"/>
        <v/>
      </c>
      <c r="CP438" s="88" t="str">
        <f t="shared" si="16"/>
        <v/>
      </c>
      <c r="CQ438" s="88" t="str">
        <f t="shared" si="17"/>
        <v/>
      </c>
      <c r="CR438" s="88" t="str">
        <f t="shared" si="18"/>
        <v/>
      </c>
      <c r="CS438" s="88" t="str">
        <f t="shared" si="19"/>
        <v/>
      </c>
      <c r="CT438" s="88" t="str">
        <f t="shared" si="20"/>
        <v/>
      </c>
      <c r="CU438" s="88" t="str">
        <f t="shared" si="21"/>
        <v/>
      </c>
      <c r="CV438" s="88" t="str">
        <f t="shared" si="22"/>
        <v/>
      </c>
      <c r="CW438" s="88" t="str">
        <f t="shared" si="23"/>
        <v/>
      </c>
      <c r="CX438" s="7"/>
      <c r="CY438" s="7"/>
      <c r="CZ438" s="7"/>
      <c r="DA438" s="8"/>
      <c r="DU438" s="93" t="str">
        <f t="shared" si="24"/>
        <v/>
      </c>
      <c r="DV438" s="104" t="str">
        <f>ABA!$A438</f>
        <v/>
      </c>
      <c r="DW438" s="98" t="str">
        <f t="shared" si="25"/>
        <v/>
      </c>
    </row>
    <row r="439" ht="15.75" customHeight="1">
      <c r="A439" s="78"/>
      <c r="B439" s="105"/>
      <c r="C439" s="82"/>
      <c r="D439" s="82"/>
      <c r="E439" s="83"/>
      <c r="F439" s="82"/>
      <c r="G439" s="82"/>
      <c r="H439" s="82"/>
      <c r="I439" s="83"/>
      <c r="J439" s="82"/>
      <c r="K439" s="82"/>
      <c r="L439" s="82"/>
      <c r="M439" s="83"/>
      <c r="N439" s="82"/>
      <c r="O439" s="82"/>
      <c r="P439" s="82"/>
      <c r="Q439" s="83"/>
      <c r="R439" s="82"/>
      <c r="S439" s="82"/>
      <c r="T439" s="82"/>
      <c r="U439" s="83"/>
      <c r="V439" s="82"/>
      <c r="W439" s="82"/>
      <c r="X439" s="82"/>
      <c r="Y439" s="83"/>
      <c r="Z439" s="82"/>
      <c r="AA439" s="82"/>
      <c r="AB439" s="82"/>
      <c r="AC439" s="83"/>
      <c r="AD439" s="82"/>
      <c r="AE439" s="82"/>
      <c r="AF439" s="82"/>
      <c r="AG439" s="83"/>
      <c r="AH439" s="82"/>
      <c r="AI439" s="82"/>
      <c r="AJ439" s="82"/>
      <c r="AK439" s="83"/>
      <c r="AL439" s="82"/>
      <c r="AM439" s="82"/>
      <c r="AN439" s="82"/>
      <c r="AO439" s="82"/>
      <c r="AP439" s="84" t="str">
        <f t="shared" si="2"/>
        <v/>
      </c>
      <c r="AQ439" s="9"/>
      <c r="AR439" s="9"/>
      <c r="AS439" s="8"/>
      <c r="AT439" s="9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8"/>
      <c r="BX439" s="9"/>
      <c r="BY439" s="9"/>
      <c r="BZ439" s="9"/>
      <c r="CA439" s="33"/>
      <c r="CB439" s="85" t="str">
        <f t="shared" si="3"/>
        <v/>
      </c>
      <c r="CC439" s="86" t="str">
        <f t="shared" si="4"/>
        <v/>
      </c>
      <c r="CD439" s="86" t="str">
        <f t="shared" si="5"/>
        <v/>
      </c>
      <c r="CE439" s="86" t="str">
        <f t="shared" si="6"/>
        <v/>
      </c>
      <c r="CF439" s="86" t="str">
        <f t="shared" si="7"/>
        <v/>
      </c>
      <c r="CG439" s="86" t="str">
        <f t="shared" si="8"/>
        <v/>
      </c>
      <c r="CH439" s="86" t="str">
        <f t="shared" si="9"/>
        <v/>
      </c>
      <c r="CI439" s="86" t="str">
        <f t="shared" si="10"/>
        <v/>
      </c>
      <c r="CJ439" s="86" t="str">
        <f t="shared" si="11"/>
        <v/>
      </c>
      <c r="CK439" s="86" t="str">
        <f t="shared" si="12"/>
        <v/>
      </c>
      <c r="CL439" s="86" t="str">
        <f t="shared" si="13"/>
        <v/>
      </c>
      <c r="CM439" s="87" t="str">
        <f t="shared" si="14"/>
        <v/>
      </c>
      <c r="CN439" s="88" t="str">
        <f t="shared" si="26"/>
        <v/>
      </c>
      <c r="CO439" s="88" t="str">
        <f t="shared" si="15"/>
        <v/>
      </c>
      <c r="CP439" s="88" t="str">
        <f t="shared" si="16"/>
        <v/>
      </c>
      <c r="CQ439" s="88" t="str">
        <f t="shared" si="17"/>
        <v/>
      </c>
      <c r="CR439" s="88" t="str">
        <f t="shared" si="18"/>
        <v/>
      </c>
      <c r="CS439" s="88" t="str">
        <f t="shared" si="19"/>
        <v/>
      </c>
      <c r="CT439" s="88" t="str">
        <f t="shared" si="20"/>
        <v/>
      </c>
      <c r="CU439" s="88" t="str">
        <f t="shared" si="21"/>
        <v/>
      </c>
      <c r="CV439" s="88" t="str">
        <f t="shared" si="22"/>
        <v/>
      </c>
      <c r="CW439" s="88" t="str">
        <f t="shared" si="23"/>
        <v/>
      </c>
      <c r="CX439" s="7"/>
      <c r="CY439" s="7"/>
      <c r="CZ439" s="7"/>
      <c r="DA439" s="8"/>
      <c r="DU439" s="104" t="str">
        <f t="shared" si="24"/>
        <v/>
      </c>
      <c r="DV439" s="93" t="str">
        <f>ABA!$A439</f>
        <v/>
      </c>
      <c r="DW439" s="82" t="str">
        <f t="shared" si="25"/>
        <v/>
      </c>
    </row>
    <row r="440" ht="15.75" customHeight="1">
      <c r="A440" s="85"/>
      <c r="B440" s="107"/>
      <c r="C440" s="98"/>
      <c r="D440" s="98"/>
      <c r="E440" s="99"/>
      <c r="F440" s="98"/>
      <c r="G440" s="98"/>
      <c r="H440" s="98"/>
      <c r="I440" s="99"/>
      <c r="J440" s="98"/>
      <c r="K440" s="98"/>
      <c r="L440" s="98"/>
      <c r="M440" s="99"/>
      <c r="N440" s="98"/>
      <c r="O440" s="98"/>
      <c r="P440" s="98"/>
      <c r="Q440" s="99"/>
      <c r="R440" s="98"/>
      <c r="S440" s="98"/>
      <c r="T440" s="98"/>
      <c r="U440" s="99"/>
      <c r="V440" s="98"/>
      <c r="W440" s="98"/>
      <c r="X440" s="98"/>
      <c r="Y440" s="100"/>
      <c r="Z440" s="98"/>
      <c r="AA440" s="98"/>
      <c r="AB440" s="98"/>
      <c r="AC440" s="99"/>
      <c r="AD440" s="98"/>
      <c r="AE440" s="98"/>
      <c r="AF440" s="98"/>
      <c r="AG440" s="99"/>
      <c r="AH440" s="98"/>
      <c r="AI440" s="98"/>
      <c r="AJ440" s="98"/>
      <c r="AK440" s="99"/>
      <c r="AL440" s="98"/>
      <c r="AM440" s="98"/>
      <c r="AN440" s="98"/>
      <c r="AO440" s="98"/>
      <c r="AP440" s="84" t="str">
        <f t="shared" si="2"/>
        <v/>
      </c>
      <c r="AQ440" s="9"/>
      <c r="AR440" s="9"/>
      <c r="AS440" s="8"/>
      <c r="AT440" s="9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8"/>
      <c r="BX440" s="9"/>
      <c r="BY440" s="9"/>
      <c r="BZ440" s="9"/>
      <c r="CA440" s="33"/>
      <c r="CB440" s="85" t="str">
        <f t="shared" si="3"/>
        <v/>
      </c>
      <c r="CC440" s="86" t="str">
        <f t="shared" si="4"/>
        <v/>
      </c>
      <c r="CD440" s="86" t="str">
        <f t="shared" si="5"/>
        <v/>
      </c>
      <c r="CE440" s="86" t="str">
        <f t="shared" si="6"/>
        <v/>
      </c>
      <c r="CF440" s="86" t="str">
        <f t="shared" si="7"/>
        <v/>
      </c>
      <c r="CG440" s="86" t="str">
        <f t="shared" si="8"/>
        <v/>
      </c>
      <c r="CH440" s="86" t="str">
        <f t="shared" si="9"/>
        <v/>
      </c>
      <c r="CI440" s="86" t="str">
        <f t="shared" si="10"/>
        <v/>
      </c>
      <c r="CJ440" s="86" t="str">
        <f t="shared" si="11"/>
        <v/>
      </c>
      <c r="CK440" s="86" t="str">
        <f t="shared" si="12"/>
        <v/>
      </c>
      <c r="CL440" s="86" t="str">
        <f t="shared" si="13"/>
        <v/>
      </c>
      <c r="CM440" s="87" t="str">
        <f t="shared" si="14"/>
        <v/>
      </c>
      <c r="CN440" s="88" t="str">
        <f t="shared" si="26"/>
        <v/>
      </c>
      <c r="CO440" s="88" t="str">
        <f t="shared" si="15"/>
        <v/>
      </c>
      <c r="CP440" s="88" t="str">
        <f t="shared" si="16"/>
        <v/>
      </c>
      <c r="CQ440" s="88" t="str">
        <f t="shared" si="17"/>
        <v/>
      </c>
      <c r="CR440" s="88" t="str">
        <f t="shared" si="18"/>
        <v/>
      </c>
      <c r="CS440" s="88" t="str">
        <f t="shared" si="19"/>
        <v/>
      </c>
      <c r="CT440" s="88" t="str">
        <f t="shared" si="20"/>
        <v/>
      </c>
      <c r="CU440" s="88" t="str">
        <f t="shared" si="21"/>
        <v/>
      </c>
      <c r="CV440" s="88" t="str">
        <f t="shared" si="22"/>
        <v/>
      </c>
      <c r="CW440" s="88" t="str">
        <f t="shared" si="23"/>
        <v/>
      </c>
      <c r="CX440" s="7"/>
      <c r="CY440" s="7"/>
      <c r="CZ440" s="7"/>
      <c r="DA440" s="8"/>
      <c r="DU440" s="93" t="str">
        <f t="shared" si="24"/>
        <v/>
      </c>
      <c r="DV440" s="104" t="str">
        <f>ABA!$A440</f>
        <v/>
      </c>
      <c r="DW440" s="98" t="str">
        <f t="shared" si="25"/>
        <v/>
      </c>
    </row>
    <row r="441" ht="15.75" customHeight="1">
      <c r="A441" s="78"/>
      <c r="B441" s="105"/>
      <c r="C441" s="82"/>
      <c r="D441" s="82"/>
      <c r="E441" s="83"/>
      <c r="F441" s="82"/>
      <c r="G441" s="82"/>
      <c r="H441" s="82"/>
      <c r="I441" s="83"/>
      <c r="J441" s="82"/>
      <c r="K441" s="82"/>
      <c r="L441" s="82"/>
      <c r="M441" s="83"/>
      <c r="N441" s="82"/>
      <c r="O441" s="82"/>
      <c r="P441" s="82"/>
      <c r="Q441" s="83"/>
      <c r="R441" s="82"/>
      <c r="S441" s="82"/>
      <c r="T441" s="82"/>
      <c r="U441" s="83"/>
      <c r="V441" s="82"/>
      <c r="W441" s="82"/>
      <c r="X441" s="82"/>
      <c r="Y441" s="83"/>
      <c r="Z441" s="82"/>
      <c r="AA441" s="82"/>
      <c r="AB441" s="82"/>
      <c r="AC441" s="83"/>
      <c r="AD441" s="82"/>
      <c r="AE441" s="82"/>
      <c r="AF441" s="82"/>
      <c r="AG441" s="83"/>
      <c r="AH441" s="82"/>
      <c r="AI441" s="82"/>
      <c r="AJ441" s="82"/>
      <c r="AK441" s="83"/>
      <c r="AL441" s="82"/>
      <c r="AM441" s="82"/>
      <c r="AN441" s="82"/>
      <c r="AO441" s="82"/>
      <c r="AP441" s="84" t="str">
        <f t="shared" si="2"/>
        <v/>
      </c>
      <c r="AQ441" s="9"/>
      <c r="AR441" s="9"/>
      <c r="AS441" s="8"/>
      <c r="AT441" s="9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8"/>
      <c r="BX441" s="9"/>
      <c r="BY441" s="9"/>
      <c r="BZ441" s="9"/>
      <c r="CA441" s="33"/>
      <c r="CB441" s="85" t="str">
        <f t="shared" si="3"/>
        <v/>
      </c>
      <c r="CC441" s="86" t="str">
        <f t="shared" si="4"/>
        <v/>
      </c>
      <c r="CD441" s="86" t="str">
        <f t="shared" si="5"/>
        <v/>
      </c>
      <c r="CE441" s="86" t="str">
        <f t="shared" si="6"/>
        <v/>
      </c>
      <c r="CF441" s="86" t="str">
        <f t="shared" si="7"/>
        <v/>
      </c>
      <c r="CG441" s="86" t="str">
        <f t="shared" si="8"/>
        <v/>
      </c>
      <c r="CH441" s="86" t="str">
        <f t="shared" si="9"/>
        <v/>
      </c>
      <c r="CI441" s="86" t="str">
        <f t="shared" si="10"/>
        <v/>
      </c>
      <c r="CJ441" s="86" t="str">
        <f t="shared" si="11"/>
        <v/>
      </c>
      <c r="CK441" s="86" t="str">
        <f t="shared" si="12"/>
        <v/>
      </c>
      <c r="CL441" s="86" t="str">
        <f t="shared" si="13"/>
        <v/>
      </c>
      <c r="CM441" s="87" t="str">
        <f t="shared" si="14"/>
        <v/>
      </c>
      <c r="CN441" s="88" t="str">
        <f t="shared" si="26"/>
        <v/>
      </c>
      <c r="CO441" s="88" t="str">
        <f t="shared" si="15"/>
        <v/>
      </c>
      <c r="CP441" s="88" t="str">
        <f t="shared" si="16"/>
        <v/>
      </c>
      <c r="CQ441" s="88" t="str">
        <f t="shared" si="17"/>
        <v/>
      </c>
      <c r="CR441" s="88" t="str">
        <f t="shared" si="18"/>
        <v/>
      </c>
      <c r="CS441" s="88" t="str">
        <f t="shared" si="19"/>
        <v/>
      </c>
      <c r="CT441" s="88" t="str">
        <f t="shared" si="20"/>
        <v/>
      </c>
      <c r="CU441" s="88" t="str">
        <f t="shared" si="21"/>
        <v/>
      </c>
      <c r="CV441" s="88" t="str">
        <f t="shared" si="22"/>
        <v/>
      </c>
      <c r="CW441" s="88" t="str">
        <f t="shared" si="23"/>
        <v/>
      </c>
      <c r="CX441" s="7"/>
      <c r="CY441" s="7"/>
      <c r="CZ441" s="7"/>
      <c r="DA441" s="8"/>
      <c r="DU441" s="104" t="str">
        <f t="shared" si="24"/>
        <v/>
      </c>
      <c r="DV441" s="93" t="str">
        <f>ABA!$A441</f>
        <v/>
      </c>
      <c r="DW441" s="82" t="str">
        <f t="shared" si="25"/>
        <v/>
      </c>
    </row>
    <row r="442" ht="15.75" customHeight="1">
      <c r="A442" s="85"/>
      <c r="B442" s="107"/>
      <c r="C442" s="98"/>
      <c r="D442" s="98"/>
      <c r="E442" s="99"/>
      <c r="F442" s="98"/>
      <c r="G442" s="98"/>
      <c r="H442" s="98"/>
      <c r="I442" s="99"/>
      <c r="J442" s="98"/>
      <c r="K442" s="98"/>
      <c r="L442" s="98"/>
      <c r="M442" s="99"/>
      <c r="N442" s="98"/>
      <c r="O442" s="98"/>
      <c r="P442" s="98"/>
      <c r="Q442" s="99"/>
      <c r="R442" s="98"/>
      <c r="S442" s="98"/>
      <c r="T442" s="98"/>
      <c r="U442" s="99"/>
      <c r="V442" s="98"/>
      <c r="W442" s="98"/>
      <c r="X442" s="98"/>
      <c r="Y442" s="100"/>
      <c r="Z442" s="98"/>
      <c r="AA442" s="98"/>
      <c r="AB442" s="98"/>
      <c r="AC442" s="99"/>
      <c r="AD442" s="98"/>
      <c r="AE442" s="98"/>
      <c r="AF442" s="98"/>
      <c r="AG442" s="99"/>
      <c r="AH442" s="98"/>
      <c r="AI442" s="98"/>
      <c r="AJ442" s="98"/>
      <c r="AK442" s="99"/>
      <c r="AL442" s="98"/>
      <c r="AM442" s="98"/>
      <c r="AN442" s="98"/>
      <c r="AO442" s="98"/>
      <c r="AP442" s="84" t="str">
        <f t="shared" si="2"/>
        <v/>
      </c>
      <c r="AQ442" s="9"/>
      <c r="AR442" s="9"/>
      <c r="AS442" s="8"/>
      <c r="AT442" s="9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8"/>
      <c r="BX442" s="9"/>
      <c r="BY442" s="9"/>
      <c r="BZ442" s="9"/>
      <c r="CA442" s="33"/>
      <c r="CB442" s="85" t="str">
        <f t="shared" si="3"/>
        <v/>
      </c>
      <c r="CC442" s="86" t="str">
        <f t="shared" si="4"/>
        <v/>
      </c>
      <c r="CD442" s="86" t="str">
        <f t="shared" si="5"/>
        <v/>
      </c>
      <c r="CE442" s="86" t="str">
        <f t="shared" si="6"/>
        <v/>
      </c>
      <c r="CF442" s="86" t="str">
        <f t="shared" si="7"/>
        <v/>
      </c>
      <c r="CG442" s="86" t="str">
        <f t="shared" si="8"/>
        <v/>
      </c>
      <c r="CH442" s="86" t="str">
        <f t="shared" si="9"/>
        <v/>
      </c>
      <c r="CI442" s="86" t="str">
        <f t="shared" si="10"/>
        <v/>
      </c>
      <c r="CJ442" s="86" t="str">
        <f t="shared" si="11"/>
        <v/>
      </c>
      <c r="CK442" s="86" t="str">
        <f t="shared" si="12"/>
        <v/>
      </c>
      <c r="CL442" s="86" t="str">
        <f t="shared" si="13"/>
        <v/>
      </c>
      <c r="CM442" s="87" t="str">
        <f t="shared" si="14"/>
        <v/>
      </c>
      <c r="CN442" s="88" t="str">
        <f t="shared" si="26"/>
        <v/>
      </c>
      <c r="CO442" s="88" t="str">
        <f t="shared" si="15"/>
        <v/>
      </c>
      <c r="CP442" s="88" t="str">
        <f t="shared" si="16"/>
        <v/>
      </c>
      <c r="CQ442" s="88" t="str">
        <f t="shared" si="17"/>
        <v/>
      </c>
      <c r="CR442" s="88" t="str">
        <f t="shared" si="18"/>
        <v/>
      </c>
      <c r="CS442" s="88" t="str">
        <f t="shared" si="19"/>
        <v/>
      </c>
      <c r="CT442" s="88" t="str">
        <f t="shared" si="20"/>
        <v/>
      </c>
      <c r="CU442" s="88" t="str">
        <f t="shared" si="21"/>
        <v/>
      </c>
      <c r="CV442" s="88" t="str">
        <f t="shared" si="22"/>
        <v/>
      </c>
      <c r="CW442" s="88" t="str">
        <f t="shared" si="23"/>
        <v/>
      </c>
      <c r="CX442" s="7"/>
      <c r="CY442" s="7"/>
      <c r="CZ442" s="7"/>
      <c r="DA442" s="8"/>
      <c r="DU442" s="93" t="str">
        <f t="shared" si="24"/>
        <v/>
      </c>
      <c r="DV442" s="104" t="str">
        <f>ABA!$A442</f>
        <v/>
      </c>
      <c r="DW442" s="98" t="str">
        <f t="shared" si="25"/>
        <v/>
      </c>
    </row>
    <row r="443" ht="15.75" customHeight="1">
      <c r="A443" s="78"/>
      <c r="B443" s="105"/>
      <c r="C443" s="82"/>
      <c r="D443" s="82"/>
      <c r="E443" s="83"/>
      <c r="F443" s="82"/>
      <c r="G443" s="82"/>
      <c r="H443" s="82"/>
      <c r="I443" s="83"/>
      <c r="J443" s="82"/>
      <c r="K443" s="82"/>
      <c r="L443" s="82"/>
      <c r="M443" s="83"/>
      <c r="N443" s="82"/>
      <c r="O443" s="82"/>
      <c r="P443" s="82"/>
      <c r="Q443" s="83"/>
      <c r="R443" s="82"/>
      <c r="S443" s="82"/>
      <c r="T443" s="82"/>
      <c r="U443" s="83"/>
      <c r="V443" s="82"/>
      <c r="W443" s="82"/>
      <c r="X443" s="82"/>
      <c r="Y443" s="83"/>
      <c r="Z443" s="82"/>
      <c r="AA443" s="82"/>
      <c r="AB443" s="82"/>
      <c r="AC443" s="83"/>
      <c r="AD443" s="82"/>
      <c r="AE443" s="82"/>
      <c r="AF443" s="82"/>
      <c r="AG443" s="83"/>
      <c r="AH443" s="82"/>
      <c r="AI443" s="82"/>
      <c r="AJ443" s="82"/>
      <c r="AK443" s="83"/>
      <c r="AL443" s="82"/>
      <c r="AM443" s="82"/>
      <c r="AN443" s="82"/>
      <c r="AO443" s="82"/>
      <c r="AP443" s="84" t="str">
        <f t="shared" si="2"/>
        <v/>
      </c>
      <c r="AQ443" s="9"/>
      <c r="AR443" s="9"/>
      <c r="AS443" s="8"/>
      <c r="AT443" s="9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8"/>
      <c r="BX443" s="9"/>
      <c r="BY443" s="9"/>
      <c r="BZ443" s="9"/>
      <c r="CA443" s="33"/>
      <c r="CB443" s="85" t="str">
        <f t="shared" si="3"/>
        <v/>
      </c>
      <c r="CC443" s="86" t="str">
        <f t="shared" si="4"/>
        <v/>
      </c>
      <c r="CD443" s="86" t="str">
        <f t="shared" si="5"/>
        <v/>
      </c>
      <c r="CE443" s="86" t="str">
        <f t="shared" si="6"/>
        <v/>
      </c>
      <c r="CF443" s="86" t="str">
        <f t="shared" si="7"/>
        <v/>
      </c>
      <c r="CG443" s="86" t="str">
        <f t="shared" si="8"/>
        <v/>
      </c>
      <c r="CH443" s="86" t="str">
        <f t="shared" si="9"/>
        <v/>
      </c>
      <c r="CI443" s="86" t="str">
        <f t="shared" si="10"/>
        <v/>
      </c>
      <c r="CJ443" s="86" t="str">
        <f t="shared" si="11"/>
        <v/>
      </c>
      <c r="CK443" s="86" t="str">
        <f t="shared" si="12"/>
        <v/>
      </c>
      <c r="CL443" s="86" t="str">
        <f t="shared" si="13"/>
        <v/>
      </c>
      <c r="CM443" s="87" t="str">
        <f t="shared" si="14"/>
        <v/>
      </c>
      <c r="CN443" s="88" t="str">
        <f t="shared" si="26"/>
        <v/>
      </c>
      <c r="CO443" s="88" t="str">
        <f t="shared" si="15"/>
        <v/>
      </c>
      <c r="CP443" s="88" t="str">
        <f t="shared" si="16"/>
        <v/>
      </c>
      <c r="CQ443" s="88" t="str">
        <f t="shared" si="17"/>
        <v/>
      </c>
      <c r="CR443" s="88" t="str">
        <f t="shared" si="18"/>
        <v/>
      </c>
      <c r="CS443" s="88" t="str">
        <f t="shared" si="19"/>
        <v/>
      </c>
      <c r="CT443" s="88" t="str">
        <f t="shared" si="20"/>
        <v/>
      </c>
      <c r="CU443" s="88" t="str">
        <f t="shared" si="21"/>
        <v/>
      </c>
      <c r="CV443" s="88" t="str">
        <f t="shared" si="22"/>
        <v/>
      </c>
      <c r="CW443" s="88" t="str">
        <f t="shared" si="23"/>
        <v/>
      </c>
      <c r="CX443" s="7"/>
      <c r="CY443" s="7"/>
      <c r="CZ443" s="7"/>
      <c r="DA443" s="8"/>
      <c r="DU443" s="104" t="str">
        <f t="shared" si="24"/>
        <v/>
      </c>
      <c r="DV443" s="93" t="str">
        <f>ABA!$A443</f>
        <v/>
      </c>
      <c r="DW443" s="82" t="str">
        <f t="shared" si="25"/>
        <v/>
      </c>
    </row>
    <row r="444" ht="15.75" customHeight="1">
      <c r="A444" s="85"/>
      <c r="B444" s="107"/>
      <c r="C444" s="98"/>
      <c r="D444" s="98"/>
      <c r="E444" s="99"/>
      <c r="F444" s="98"/>
      <c r="G444" s="98"/>
      <c r="H444" s="98"/>
      <c r="I444" s="99"/>
      <c r="J444" s="98"/>
      <c r="K444" s="98"/>
      <c r="L444" s="98"/>
      <c r="M444" s="99"/>
      <c r="N444" s="98"/>
      <c r="O444" s="98"/>
      <c r="P444" s="98"/>
      <c r="Q444" s="99"/>
      <c r="R444" s="98"/>
      <c r="S444" s="98"/>
      <c r="T444" s="98"/>
      <c r="U444" s="99"/>
      <c r="V444" s="98"/>
      <c r="W444" s="98"/>
      <c r="X444" s="98"/>
      <c r="Y444" s="100"/>
      <c r="Z444" s="98"/>
      <c r="AA444" s="98"/>
      <c r="AB444" s="98"/>
      <c r="AC444" s="99"/>
      <c r="AD444" s="98"/>
      <c r="AE444" s="98"/>
      <c r="AF444" s="98"/>
      <c r="AG444" s="99"/>
      <c r="AH444" s="98"/>
      <c r="AI444" s="98"/>
      <c r="AJ444" s="98"/>
      <c r="AK444" s="99"/>
      <c r="AL444" s="98"/>
      <c r="AM444" s="98"/>
      <c r="AN444" s="98"/>
      <c r="AO444" s="98"/>
      <c r="AP444" s="84" t="str">
        <f t="shared" si="2"/>
        <v/>
      </c>
      <c r="AQ444" s="9"/>
      <c r="AR444" s="9"/>
      <c r="AS444" s="8"/>
      <c r="AT444" s="9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8"/>
      <c r="BX444" s="9"/>
      <c r="BY444" s="9"/>
      <c r="BZ444" s="9"/>
      <c r="CA444" s="33"/>
      <c r="CB444" s="85" t="str">
        <f t="shared" si="3"/>
        <v/>
      </c>
      <c r="CC444" s="86" t="str">
        <f t="shared" si="4"/>
        <v/>
      </c>
      <c r="CD444" s="86" t="str">
        <f t="shared" si="5"/>
        <v/>
      </c>
      <c r="CE444" s="86" t="str">
        <f t="shared" si="6"/>
        <v/>
      </c>
      <c r="CF444" s="86" t="str">
        <f t="shared" si="7"/>
        <v/>
      </c>
      <c r="CG444" s="86" t="str">
        <f t="shared" si="8"/>
        <v/>
      </c>
      <c r="CH444" s="86" t="str">
        <f t="shared" si="9"/>
        <v/>
      </c>
      <c r="CI444" s="86" t="str">
        <f t="shared" si="10"/>
        <v/>
      </c>
      <c r="CJ444" s="86" t="str">
        <f t="shared" si="11"/>
        <v/>
      </c>
      <c r="CK444" s="86" t="str">
        <f t="shared" si="12"/>
        <v/>
      </c>
      <c r="CL444" s="86" t="str">
        <f t="shared" si="13"/>
        <v/>
      </c>
      <c r="CM444" s="87" t="str">
        <f t="shared" si="14"/>
        <v/>
      </c>
      <c r="CN444" s="88" t="str">
        <f t="shared" si="26"/>
        <v/>
      </c>
      <c r="CO444" s="88" t="str">
        <f t="shared" si="15"/>
        <v/>
      </c>
      <c r="CP444" s="88" t="str">
        <f t="shared" si="16"/>
        <v/>
      </c>
      <c r="CQ444" s="88" t="str">
        <f t="shared" si="17"/>
        <v/>
      </c>
      <c r="CR444" s="88" t="str">
        <f t="shared" si="18"/>
        <v/>
      </c>
      <c r="CS444" s="88" t="str">
        <f t="shared" si="19"/>
        <v/>
      </c>
      <c r="CT444" s="88" t="str">
        <f t="shared" si="20"/>
        <v/>
      </c>
      <c r="CU444" s="88" t="str">
        <f t="shared" si="21"/>
        <v/>
      </c>
      <c r="CV444" s="88" t="str">
        <f t="shared" si="22"/>
        <v/>
      </c>
      <c r="CW444" s="88" t="str">
        <f t="shared" si="23"/>
        <v/>
      </c>
      <c r="CX444" s="7"/>
      <c r="CY444" s="7"/>
      <c r="CZ444" s="7"/>
      <c r="DA444" s="8"/>
      <c r="DU444" s="93" t="str">
        <f t="shared" si="24"/>
        <v/>
      </c>
      <c r="DV444" s="104" t="str">
        <f>ABA!$A444</f>
        <v/>
      </c>
      <c r="DW444" s="98" t="str">
        <f t="shared" si="25"/>
        <v/>
      </c>
    </row>
    <row r="445" ht="15.75" customHeight="1">
      <c r="A445" s="78"/>
      <c r="B445" s="105"/>
      <c r="C445" s="82"/>
      <c r="D445" s="82"/>
      <c r="E445" s="83"/>
      <c r="F445" s="82"/>
      <c r="G445" s="82"/>
      <c r="H445" s="82"/>
      <c r="I445" s="83"/>
      <c r="J445" s="82"/>
      <c r="K445" s="82"/>
      <c r="L445" s="82"/>
      <c r="M445" s="83"/>
      <c r="N445" s="82"/>
      <c r="O445" s="82"/>
      <c r="P445" s="82"/>
      <c r="Q445" s="83"/>
      <c r="R445" s="82"/>
      <c r="S445" s="82"/>
      <c r="T445" s="82"/>
      <c r="U445" s="83"/>
      <c r="V445" s="82"/>
      <c r="W445" s="82"/>
      <c r="X445" s="82"/>
      <c r="Y445" s="83"/>
      <c r="Z445" s="82"/>
      <c r="AA445" s="82"/>
      <c r="AB445" s="82"/>
      <c r="AC445" s="83"/>
      <c r="AD445" s="82"/>
      <c r="AE445" s="82"/>
      <c r="AF445" s="82"/>
      <c r="AG445" s="83"/>
      <c r="AH445" s="82"/>
      <c r="AI445" s="82"/>
      <c r="AJ445" s="82"/>
      <c r="AK445" s="83"/>
      <c r="AL445" s="82"/>
      <c r="AM445" s="82"/>
      <c r="AN445" s="82"/>
      <c r="AO445" s="82"/>
      <c r="AP445" s="84" t="str">
        <f t="shared" si="2"/>
        <v/>
      </c>
      <c r="AQ445" s="9"/>
      <c r="AR445" s="9"/>
      <c r="AS445" s="8"/>
      <c r="AT445" s="9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8"/>
      <c r="BX445" s="9"/>
      <c r="BY445" s="9"/>
      <c r="BZ445" s="9"/>
      <c r="CA445" s="33"/>
      <c r="CB445" s="85" t="str">
        <f t="shared" si="3"/>
        <v/>
      </c>
      <c r="CC445" s="86" t="str">
        <f t="shared" si="4"/>
        <v/>
      </c>
      <c r="CD445" s="86" t="str">
        <f t="shared" si="5"/>
        <v/>
      </c>
      <c r="CE445" s="86" t="str">
        <f t="shared" si="6"/>
        <v/>
      </c>
      <c r="CF445" s="86" t="str">
        <f t="shared" si="7"/>
        <v/>
      </c>
      <c r="CG445" s="86" t="str">
        <f t="shared" si="8"/>
        <v/>
      </c>
      <c r="CH445" s="86" t="str">
        <f t="shared" si="9"/>
        <v/>
      </c>
      <c r="CI445" s="86" t="str">
        <f t="shared" si="10"/>
        <v/>
      </c>
      <c r="CJ445" s="86" t="str">
        <f t="shared" si="11"/>
        <v/>
      </c>
      <c r="CK445" s="86" t="str">
        <f t="shared" si="12"/>
        <v/>
      </c>
      <c r="CL445" s="86" t="str">
        <f t="shared" si="13"/>
        <v/>
      </c>
      <c r="CM445" s="87" t="str">
        <f t="shared" si="14"/>
        <v/>
      </c>
      <c r="CN445" s="88" t="str">
        <f t="shared" si="26"/>
        <v/>
      </c>
      <c r="CO445" s="88" t="str">
        <f t="shared" si="15"/>
        <v/>
      </c>
      <c r="CP445" s="88" t="str">
        <f t="shared" si="16"/>
        <v/>
      </c>
      <c r="CQ445" s="88" t="str">
        <f t="shared" si="17"/>
        <v/>
      </c>
      <c r="CR445" s="88" t="str">
        <f t="shared" si="18"/>
        <v/>
      </c>
      <c r="CS445" s="88" t="str">
        <f t="shared" si="19"/>
        <v/>
      </c>
      <c r="CT445" s="88" t="str">
        <f t="shared" si="20"/>
        <v/>
      </c>
      <c r="CU445" s="88" t="str">
        <f t="shared" si="21"/>
        <v/>
      </c>
      <c r="CV445" s="88" t="str">
        <f t="shared" si="22"/>
        <v/>
      </c>
      <c r="CW445" s="88" t="str">
        <f t="shared" si="23"/>
        <v/>
      </c>
      <c r="CX445" s="7"/>
      <c r="CY445" s="7"/>
      <c r="CZ445" s="7"/>
      <c r="DA445" s="8"/>
      <c r="DU445" s="93" t="str">
        <f t="shared" si="24"/>
        <v/>
      </c>
      <c r="DV445" s="93" t="str">
        <f>ABA!$A445</f>
        <v/>
      </c>
      <c r="DW445" s="82" t="str">
        <f t="shared" si="25"/>
        <v/>
      </c>
    </row>
    <row r="446" ht="15.75" customHeight="1">
      <c r="A446" s="85"/>
      <c r="B446" s="107"/>
      <c r="C446" s="98"/>
      <c r="D446" s="98"/>
      <c r="E446" s="99"/>
      <c r="F446" s="98"/>
      <c r="G446" s="98"/>
      <c r="H446" s="98"/>
      <c r="I446" s="99"/>
      <c r="J446" s="98"/>
      <c r="K446" s="98"/>
      <c r="L446" s="98"/>
      <c r="M446" s="99"/>
      <c r="N446" s="98"/>
      <c r="O446" s="98"/>
      <c r="P446" s="98"/>
      <c r="Q446" s="99"/>
      <c r="R446" s="98"/>
      <c r="S446" s="98"/>
      <c r="T446" s="98"/>
      <c r="U446" s="99"/>
      <c r="V446" s="98"/>
      <c r="W446" s="98"/>
      <c r="X446" s="98"/>
      <c r="Y446" s="100"/>
      <c r="Z446" s="98"/>
      <c r="AA446" s="98"/>
      <c r="AB446" s="98"/>
      <c r="AC446" s="99"/>
      <c r="AD446" s="98"/>
      <c r="AE446" s="98"/>
      <c r="AF446" s="98"/>
      <c r="AG446" s="99"/>
      <c r="AH446" s="98"/>
      <c r="AI446" s="98"/>
      <c r="AJ446" s="98"/>
      <c r="AK446" s="99"/>
      <c r="AL446" s="98"/>
      <c r="AM446" s="98"/>
      <c r="AN446" s="98"/>
      <c r="AO446" s="98"/>
      <c r="AP446" s="84" t="str">
        <f t="shared" si="2"/>
        <v/>
      </c>
      <c r="AQ446" s="9"/>
      <c r="AR446" s="9"/>
      <c r="AS446" s="8"/>
      <c r="AT446" s="9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8"/>
      <c r="BX446" s="9"/>
      <c r="BY446" s="9"/>
      <c r="BZ446" s="9"/>
      <c r="CA446" s="33"/>
      <c r="CB446" s="85" t="str">
        <f t="shared" si="3"/>
        <v/>
      </c>
      <c r="CC446" s="86" t="str">
        <f t="shared" si="4"/>
        <v/>
      </c>
      <c r="CD446" s="86" t="str">
        <f t="shared" si="5"/>
        <v/>
      </c>
      <c r="CE446" s="86" t="str">
        <f t="shared" si="6"/>
        <v/>
      </c>
      <c r="CF446" s="86" t="str">
        <f t="shared" si="7"/>
        <v/>
      </c>
      <c r="CG446" s="86" t="str">
        <f t="shared" si="8"/>
        <v/>
      </c>
      <c r="CH446" s="86" t="str">
        <f t="shared" si="9"/>
        <v/>
      </c>
      <c r="CI446" s="86" t="str">
        <f t="shared" si="10"/>
        <v/>
      </c>
      <c r="CJ446" s="86" t="str">
        <f t="shared" si="11"/>
        <v/>
      </c>
      <c r="CK446" s="86" t="str">
        <f t="shared" si="12"/>
        <v/>
      </c>
      <c r="CL446" s="86" t="str">
        <f t="shared" si="13"/>
        <v/>
      </c>
      <c r="CM446" s="87" t="str">
        <f t="shared" si="14"/>
        <v/>
      </c>
      <c r="CN446" s="88" t="str">
        <f t="shared" si="26"/>
        <v/>
      </c>
      <c r="CO446" s="88" t="str">
        <f t="shared" si="15"/>
        <v/>
      </c>
      <c r="CP446" s="88" t="str">
        <f t="shared" si="16"/>
        <v/>
      </c>
      <c r="CQ446" s="88" t="str">
        <f t="shared" si="17"/>
        <v/>
      </c>
      <c r="CR446" s="88" t="str">
        <f t="shared" si="18"/>
        <v/>
      </c>
      <c r="CS446" s="88" t="str">
        <f t="shared" si="19"/>
        <v/>
      </c>
      <c r="CT446" s="88" t="str">
        <f t="shared" si="20"/>
        <v/>
      </c>
      <c r="CU446" s="88" t="str">
        <f t="shared" si="21"/>
        <v/>
      </c>
      <c r="CV446" s="88" t="str">
        <f t="shared" si="22"/>
        <v/>
      </c>
      <c r="CW446" s="88" t="str">
        <f t="shared" si="23"/>
        <v/>
      </c>
      <c r="CX446" s="7"/>
      <c r="CY446" s="7"/>
      <c r="CZ446" s="7"/>
      <c r="DA446" s="8"/>
      <c r="DU446" s="104" t="str">
        <f t="shared" si="24"/>
        <v/>
      </c>
      <c r="DV446" s="104" t="str">
        <f>ABA!$A446</f>
        <v/>
      </c>
      <c r="DW446" s="98" t="str">
        <f t="shared" si="25"/>
        <v/>
      </c>
    </row>
    <row r="447" ht="15.75" customHeight="1">
      <c r="A447" s="78"/>
      <c r="B447" s="105"/>
      <c r="C447" s="82"/>
      <c r="D447" s="82"/>
      <c r="E447" s="83"/>
      <c r="F447" s="82"/>
      <c r="G447" s="82"/>
      <c r="H447" s="82"/>
      <c r="I447" s="83"/>
      <c r="J447" s="82"/>
      <c r="K447" s="82"/>
      <c r="L447" s="82"/>
      <c r="M447" s="83"/>
      <c r="N447" s="82"/>
      <c r="O447" s="82"/>
      <c r="P447" s="82"/>
      <c r="Q447" s="83"/>
      <c r="R447" s="82"/>
      <c r="S447" s="82"/>
      <c r="T447" s="82"/>
      <c r="U447" s="83"/>
      <c r="V447" s="82"/>
      <c r="W447" s="82"/>
      <c r="X447" s="82"/>
      <c r="Y447" s="83"/>
      <c r="Z447" s="82"/>
      <c r="AA447" s="82"/>
      <c r="AB447" s="82"/>
      <c r="AC447" s="83"/>
      <c r="AD447" s="82"/>
      <c r="AE447" s="82"/>
      <c r="AF447" s="82"/>
      <c r="AG447" s="83"/>
      <c r="AH447" s="82"/>
      <c r="AI447" s="82"/>
      <c r="AJ447" s="82"/>
      <c r="AK447" s="83"/>
      <c r="AL447" s="82"/>
      <c r="AM447" s="82"/>
      <c r="AN447" s="82"/>
      <c r="AO447" s="82"/>
      <c r="AP447" s="84" t="str">
        <f t="shared" si="2"/>
        <v/>
      </c>
      <c r="AQ447" s="9"/>
      <c r="AR447" s="9"/>
      <c r="AS447" s="8"/>
      <c r="AT447" s="9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8"/>
      <c r="BX447" s="9"/>
      <c r="BY447" s="9"/>
      <c r="BZ447" s="9"/>
      <c r="CA447" s="33"/>
      <c r="CB447" s="85" t="str">
        <f t="shared" si="3"/>
        <v/>
      </c>
      <c r="CC447" s="86" t="str">
        <f t="shared" si="4"/>
        <v/>
      </c>
      <c r="CD447" s="86" t="str">
        <f t="shared" si="5"/>
        <v/>
      </c>
      <c r="CE447" s="86" t="str">
        <f t="shared" si="6"/>
        <v/>
      </c>
      <c r="CF447" s="86" t="str">
        <f t="shared" si="7"/>
        <v/>
      </c>
      <c r="CG447" s="86" t="str">
        <f t="shared" si="8"/>
        <v/>
      </c>
      <c r="CH447" s="86" t="str">
        <f t="shared" si="9"/>
        <v/>
      </c>
      <c r="CI447" s="86" t="str">
        <f t="shared" si="10"/>
        <v/>
      </c>
      <c r="CJ447" s="86" t="str">
        <f t="shared" si="11"/>
        <v/>
      </c>
      <c r="CK447" s="86" t="str">
        <f t="shared" si="12"/>
        <v/>
      </c>
      <c r="CL447" s="86" t="str">
        <f t="shared" si="13"/>
        <v/>
      </c>
      <c r="CM447" s="87" t="str">
        <f t="shared" si="14"/>
        <v/>
      </c>
      <c r="CN447" s="88" t="str">
        <f t="shared" si="26"/>
        <v/>
      </c>
      <c r="CO447" s="88" t="str">
        <f t="shared" si="15"/>
        <v/>
      </c>
      <c r="CP447" s="88" t="str">
        <f t="shared" si="16"/>
        <v/>
      </c>
      <c r="CQ447" s="88" t="str">
        <f t="shared" si="17"/>
        <v/>
      </c>
      <c r="CR447" s="88" t="str">
        <f t="shared" si="18"/>
        <v/>
      </c>
      <c r="CS447" s="88" t="str">
        <f t="shared" si="19"/>
        <v/>
      </c>
      <c r="CT447" s="88" t="str">
        <f t="shared" si="20"/>
        <v/>
      </c>
      <c r="CU447" s="88" t="str">
        <f t="shared" si="21"/>
        <v/>
      </c>
      <c r="CV447" s="88" t="str">
        <f t="shared" si="22"/>
        <v/>
      </c>
      <c r="CW447" s="88" t="str">
        <f t="shared" si="23"/>
        <v/>
      </c>
      <c r="CX447" s="7"/>
      <c r="CY447" s="7"/>
      <c r="CZ447" s="7"/>
      <c r="DA447" s="8"/>
      <c r="DU447" s="93" t="str">
        <f t="shared" si="24"/>
        <v/>
      </c>
      <c r="DV447" s="93" t="str">
        <f>ABA!$A447</f>
        <v/>
      </c>
      <c r="DW447" s="82" t="str">
        <f t="shared" si="25"/>
        <v/>
      </c>
    </row>
    <row r="448" ht="15.75" customHeight="1">
      <c r="A448" s="85"/>
      <c r="B448" s="107"/>
      <c r="C448" s="98"/>
      <c r="D448" s="98"/>
      <c r="E448" s="99"/>
      <c r="F448" s="98"/>
      <c r="G448" s="98"/>
      <c r="H448" s="98"/>
      <c r="I448" s="99"/>
      <c r="J448" s="98"/>
      <c r="K448" s="98"/>
      <c r="L448" s="98"/>
      <c r="M448" s="99"/>
      <c r="N448" s="98"/>
      <c r="O448" s="98"/>
      <c r="P448" s="98"/>
      <c r="Q448" s="99"/>
      <c r="R448" s="98"/>
      <c r="S448" s="98"/>
      <c r="T448" s="98"/>
      <c r="U448" s="99"/>
      <c r="V448" s="98"/>
      <c r="W448" s="98"/>
      <c r="X448" s="98"/>
      <c r="Y448" s="100"/>
      <c r="Z448" s="98"/>
      <c r="AA448" s="98"/>
      <c r="AB448" s="98"/>
      <c r="AC448" s="99"/>
      <c r="AD448" s="98"/>
      <c r="AE448" s="98"/>
      <c r="AF448" s="98"/>
      <c r="AG448" s="99"/>
      <c r="AH448" s="98"/>
      <c r="AI448" s="98"/>
      <c r="AJ448" s="98"/>
      <c r="AK448" s="99"/>
      <c r="AL448" s="98"/>
      <c r="AM448" s="98"/>
      <c r="AN448" s="98"/>
      <c r="AO448" s="98"/>
      <c r="AP448" s="84" t="str">
        <f t="shared" si="2"/>
        <v/>
      </c>
      <c r="AQ448" s="9"/>
      <c r="AR448" s="9"/>
      <c r="AS448" s="8"/>
      <c r="AT448" s="9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8"/>
      <c r="BX448" s="9"/>
      <c r="BY448" s="9"/>
      <c r="BZ448" s="9"/>
      <c r="CA448" s="33"/>
      <c r="CB448" s="85" t="str">
        <f t="shared" si="3"/>
        <v/>
      </c>
      <c r="CC448" s="86" t="str">
        <f t="shared" si="4"/>
        <v/>
      </c>
      <c r="CD448" s="86" t="str">
        <f t="shared" si="5"/>
        <v/>
      </c>
      <c r="CE448" s="86" t="str">
        <f t="shared" si="6"/>
        <v/>
      </c>
      <c r="CF448" s="86" t="str">
        <f t="shared" si="7"/>
        <v/>
      </c>
      <c r="CG448" s="86" t="str">
        <f t="shared" si="8"/>
        <v/>
      </c>
      <c r="CH448" s="86" t="str">
        <f t="shared" si="9"/>
        <v/>
      </c>
      <c r="CI448" s="86" t="str">
        <f t="shared" si="10"/>
        <v/>
      </c>
      <c r="CJ448" s="86" t="str">
        <f t="shared" si="11"/>
        <v/>
      </c>
      <c r="CK448" s="86" t="str">
        <f t="shared" si="12"/>
        <v/>
      </c>
      <c r="CL448" s="86" t="str">
        <f t="shared" si="13"/>
        <v/>
      </c>
      <c r="CM448" s="87" t="str">
        <f t="shared" si="14"/>
        <v/>
      </c>
      <c r="CN448" s="88" t="str">
        <f t="shared" si="26"/>
        <v/>
      </c>
      <c r="CO448" s="88" t="str">
        <f t="shared" si="15"/>
        <v/>
      </c>
      <c r="CP448" s="88" t="str">
        <f t="shared" si="16"/>
        <v/>
      </c>
      <c r="CQ448" s="88" t="str">
        <f t="shared" si="17"/>
        <v/>
      </c>
      <c r="CR448" s="88" t="str">
        <f t="shared" si="18"/>
        <v/>
      </c>
      <c r="CS448" s="88" t="str">
        <f t="shared" si="19"/>
        <v/>
      </c>
      <c r="CT448" s="88" t="str">
        <f t="shared" si="20"/>
        <v/>
      </c>
      <c r="CU448" s="88" t="str">
        <f t="shared" si="21"/>
        <v/>
      </c>
      <c r="CV448" s="88" t="str">
        <f t="shared" si="22"/>
        <v/>
      </c>
      <c r="CW448" s="88" t="str">
        <f t="shared" si="23"/>
        <v/>
      </c>
      <c r="CX448" s="7"/>
      <c r="CY448" s="7"/>
      <c r="CZ448" s="7"/>
      <c r="DA448" s="8"/>
      <c r="DU448" s="104" t="str">
        <f t="shared" si="24"/>
        <v/>
      </c>
      <c r="DV448" s="104" t="str">
        <f>ABA!$A448</f>
        <v/>
      </c>
      <c r="DW448" s="98" t="str">
        <f t="shared" si="25"/>
        <v/>
      </c>
    </row>
    <row r="449" ht="15.75" customHeight="1">
      <c r="A449" s="78"/>
      <c r="B449" s="105"/>
      <c r="C449" s="82"/>
      <c r="D449" s="82"/>
      <c r="E449" s="83"/>
      <c r="F449" s="82"/>
      <c r="G449" s="82"/>
      <c r="H449" s="82"/>
      <c r="I449" s="83"/>
      <c r="J449" s="82"/>
      <c r="K449" s="82"/>
      <c r="L449" s="82"/>
      <c r="M449" s="83"/>
      <c r="N449" s="82"/>
      <c r="O449" s="82"/>
      <c r="P449" s="82"/>
      <c r="Q449" s="83"/>
      <c r="R449" s="82"/>
      <c r="S449" s="82"/>
      <c r="T449" s="82"/>
      <c r="U449" s="83"/>
      <c r="V449" s="82"/>
      <c r="W449" s="82"/>
      <c r="X449" s="82"/>
      <c r="Y449" s="83"/>
      <c r="Z449" s="82"/>
      <c r="AA449" s="82"/>
      <c r="AB449" s="82"/>
      <c r="AC449" s="83"/>
      <c r="AD449" s="82"/>
      <c r="AE449" s="82"/>
      <c r="AF449" s="82"/>
      <c r="AG449" s="83"/>
      <c r="AH449" s="82"/>
      <c r="AI449" s="82"/>
      <c r="AJ449" s="82"/>
      <c r="AK449" s="83"/>
      <c r="AL449" s="82"/>
      <c r="AM449" s="82"/>
      <c r="AN449" s="82"/>
      <c r="AO449" s="82"/>
      <c r="AP449" s="84" t="str">
        <f t="shared" si="2"/>
        <v/>
      </c>
      <c r="AQ449" s="9"/>
      <c r="AR449" s="9"/>
      <c r="AS449" s="8"/>
      <c r="AT449" s="9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8"/>
      <c r="BX449" s="9"/>
      <c r="BY449" s="9"/>
      <c r="BZ449" s="9"/>
      <c r="CA449" s="33"/>
      <c r="CB449" s="85" t="str">
        <f t="shared" si="3"/>
        <v/>
      </c>
      <c r="CC449" s="86" t="str">
        <f t="shared" si="4"/>
        <v/>
      </c>
      <c r="CD449" s="86" t="str">
        <f t="shared" si="5"/>
        <v/>
      </c>
      <c r="CE449" s="86" t="str">
        <f t="shared" si="6"/>
        <v/>
      </c>
      <c r="CF449" s="86" t="str">
        <f t="shared" si="7"/>
        <v/>
      </c>
      <c r="CG449" s="86" t="str">
        <f t="shared" si="8"/>
        <v/>
      </c>
      <c r="CH449" s="86" t="str">
        <f t="shared" si="9"/>
        <v/>
      </c>
      <c r="CI449" s="86" t="str">
        <f t="shared" si="10"/>
        <v/>
      </c>
      <c r="CJ449" s="86" t="str">
        <f t="shared" si="11"/>
        <v/>
      </c>
      <c r="CK449" s="86" t="str">
        <f t="shared" si="12"/>
        <v/>
      </c>
      <c r="CL449" s="86" t="str">
        <f t="shared" si="13"/>
        <v/>
      </c>
      <c r="CM449" s="87" t="str">
        <f t="shared" si="14"/>
        <v/>
      </c>
      <c r="CN449" s="88" t="str">
        <f t="shared" si="26"/>
        <v/>
      </c>
      <c r="CO449" s="88" t="str">
        <f t="shared" si="15"/>
        <v/>
      </c>
      <c r="CP449" s="88" t="str">
        <f t="shared" si="16"/>
        <v/>
      </c>
      <c r="CQ449" s="88" t="str">
        <f t="shared" si="17"/>
        <v/>
      </c>
      <c r="CR449" s="88" t="str">
        <f t="shared" si="18"/>
        <v/>
      </c>
      <c r="CS449" s="88" t="str">
        <f t="shared" si="19"/>
        <v/>
      </c>
      <c r="CT449" s="88" t="str">
        <f t="shared" si="20"/>
        <v/>
      </c>
      <c r="CU449" s="88" t="str">
        <f t="shared" si="21"/>
        <v/>
      </c>
      <c r="CV449" s="88" t="str">
        <f t="shared" si="22"/>
        <v/>
      </c>
      <c r="CW449" s="88" t="str">
        <f t="shared" si="23"/>
        <v/>
      </c>
      <c r="CX449" s="7"/>
      <c r="CY449" s="7"/>
      <c r="CZ449" s="7"/>
      <c r="DA449" s="8"/>
      <c r="DU449" s="93" t="str">
        <f t="shared" si="24"/>
        <v/>
      </c>
      <c r="DV449" s="93" t="str">
        <f>ABA!$A449</f>
        <v/>
      </c>
      <c r="DW449" s="82" t="str">
        <f t="shared" si="25"/>
        <v/>
      </c>
    </row>
    <row r="450" ht="15.75" customHeight="1">
      <c r="A450" s="85"/>
      <c r="B450" s="107"/>
      <c r="C450" s="98"/>
      <c r="D450" s="98"/>
      <c r="E450" s="99"/>
      <c r="F450" s="98"/>
      <c r="G450" s="98"/>
      <c r="H450" s="98"/>
      <c r="I450" s="99"/>
      <c r="J450" s="98"/>
      <c r="K450" s="98"/>
      <c r="L450" s="98"/>
      <c r="M450" s="99"/>
      <c r="N450" s="98"/>
      <c r="O450" s="98"/>
      <c r="P450" s="98"/>
      <c r="Q450" s="99"/>
      <c r="R450" s="98"/>
      <c r="S450" s="98"/>
      <c r="T450" s="98"/>
      <c r="U450" s="99"/>
      <c r="V450" s="98"/>
      <c r="W450" s="98"/>
      <c r="X450" s="98"/>
      <c r="Y450" s="100"/>
      <c r="Z450" s="98"/>
      <c r="AA450" s="98"/>
      <c r="AB450" s="98"/>
      <c r="AC450" s="99"/>
      <c r="AD450" s="98"/>
      <c r="AE450" s="98"/>
      <c r="AF450" s="98"/>
      <c r="AG450" s="99"/>
      <c r="AH450" s="98"/>
      <c r="AI450" s="98"/>
      <c r="AJ450" s="98"/>
      <c r="AK450" s="99"/>
      <c r="AL450" s="98"/>
      <c r="AM450" s="98"/>
      <c r="AN450" s="98"/>
      <c r="AO450" s="98"/>
      <c r="AP450" s="84" t="str">
        <f t="shared" si="2"/>
        <v/>
      </c>
      <c r="AQ450" s="9"/>
      <c r="AR450" s="9"/>
      <c r="AS450" s="8"/>
      <c r="AT450" s="9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8"/>
      <c r="BX450" s="9"/>
      <c r="BY450" s="9"/>
      <c r="BZ450" s="9"/>
      <c r="CA450" s="33"/>
      <c r="CB450" s="85" t="str">
        <f t="shared" si="3"/>
        <v/>
      </c>
      <c r="CC450" s="86" t="str">
        <f t="shared" si="4"/>
        <v/>
      </c>
      <c r="CD450" s="86" t="str">
        <f t="shared" si="5"/>
        <v/>
      </c>
      <c r="CE450" s="86" t="str">
        <f t="shared" si="6"/>
        <v/>
      </c>
      <c r="CF450" s="86" t="str">
        <f t="shared" si="7"/>
        <v/>
      </c>
      <c r="CG450" s="86" t="str">
        <f t="shared" si="8"/>
        <v/>
      </c>
      <c r="CH450" s="86" t="str">
        <f t="shared" si="9"/>
        <v/>
      </c>
      <c r="CI450" s="86" t="str">
        <f t="shared" si="10"/>
        <v/>
      </c>
      <c r="CJ450" s="86" t="str">
        <f t="shared" si="11"/>
        <v/>
      </c>
      <c r="CK450" s="86" t="str">
        <f t="shared" si="12"/>
        <v/>
      </c>
      <c r="CL450" s="86" t="str">
        <f t="shared" si="13"/>
        <v/>
      </c>
      <c r="CM450" s="87" t="str">
        <f t="shared" si="14"/>
        <v/>
      </c>
      <c r="CN450" s="88" t="str">
        <f t="shared" si="26"/>
        <v/>
      </c>
      <c r="CO450" s="88" t="str">
        <f t="shared" si="15"/>
        <v/>
      </c>
      <c r="CP450" s="88" t="str">
        <f t="shared" si="16"/>
        <v/>
      </c>
      <c r="CQ450" s="88" t="str">
        <f t="shared" si="17"/>
        <v/>
      </c>
      <c r="CR450" s="88" t="str">
        <f t="shared" si="18"/>
        <v/>
      </c>
      <c r="CS450" s="88" t="str">
        <f t="shared" si="19"/>
        <v/>
      </c>
      <c r="CT450" s="88" t="str">
        <f t="shared" si="20"/>
        <v/>
      </c>
      <c r="CU450" s="88" t="str">
        <f t="shared" si="21"/>
        <v/>
      </c>
      <c r="CV450" s="88" t="str">
        <f t="shared" si="22"/>
        <v/>
      </c>
      <c r="CW450" s="88" t="str">
        <f t="shared" si="23"/>
        <v/>
      </c>
      <c r="CX450" s="7"/>
      <c r="CY450" s="7"/>
      <c r="CZ450" s="7"/>
      <c r="DA450" s="8"/>
      <c r="DU450" s="104" t="str">
        <f t="shared" si="24"/>
        <v/>
      </c>
      <c r="DV450" s="104" t="str">
        <f>ABA!$A450</f>
        <v/>
      </c>
      <c r="DW450" s="98" t="str">
        <f t="shared" si="25"/>
        <v/>
      </c>
    </row>
    <row r="451" ht="15.75" customHeight="1">
      <c r="A451" s="78"/>
      <c r="B451" s="105"/>
      <c r="C451" s="82"/>
      <c r="D451" s="82"/>
      <c r="E451" s="83"/>
      <c r="F451" s="82"/>
      <c r="G451" s="82"/>
      <c r="H451" s="82"/>
      <c r="I451" s="83"/>
      <c r="J451" s="82"/>
      <c r="K451" s="82"/>
      <c r="L451" s="82"/>
      <c r="M451" s="83"/>
      <c r="N451" s="82"/>
      <c r="O451" s="82"/>
      <c r="P451" s="82"/>
      <c r="Q451" s="83"/>
      <c r="R451" s="82"/>
      <c r="S451" s="82"/>
      <c r="T451" s="82"/>
      <c r="U451" s="83"/>
      <c r="V451" s="82"/>
      <c r="W451" s="82"/>
      <c r="X451" s="82"/>
      <c r="Y451" s="83"/>
      <c r="Z451" s="82"/>
      <c r="AA451" s="82"/>
      <c r="AB451" s="82"/>
      <c r="AC451" s="83"/>
      <c r="AD451" s="82"/>
      <c r="AE451" s="82"/>
      <c r="AF451" s="82"/>
      <c r="AG451" s="83"/>
      <c r="AH451" s="82"/>
      <c r="AI451" s="82"/>
      <c r="AJ451" s="82"/>
      <c r="AK451" s="83"/>
      <c r="AL451" s="82"/>
      <c r="AM451" s="82"/>
      <c r="AN451" s="82"/>
      <c r="AO451" s="82"/>
      <c r="AP451" s="84" t="str">
        <f t="shared" si="2"/>
        <v/>
      </c>
      <c r="AQ451" s="9"/>
      <c r="AR451" s="9"/>
      <c r="AS451" s="8"/>
      <c r="AT451" s="9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8"/>
      <c r="BX451" s="9"/>
      <c r="BY451" s="9"/>
      <c r="BZ451" s="9"/>
      <c r="CA451" s="33"/>
      <c r="CB451" s="85" t="str">
        <f t="shared" si="3"/>
        <v/>
      </c>
      <c r="CC451" s="86" t="str">
        <f t="shared" si="4"/>
        <v/>
      </c>
      <c r="CD451" s="86" t="str">
        <f t="shared" si="5"/>
        <v/>
      </c>
      <c r="CE451" s="86" t="str">
        <f t="shared" si="6"/>
        <v/>
      </c>
      <c r="CF451" s="86" t="str">
        <f t="shared" si="7"/>
        <v/>
      </c>
      <c r="CG451" s="86" t="str">
        <f t="shared" si="8"/>
        <v/>
      </c>
      <c r="CH451" s="86" t="str">
        <f t="shared" si="9"/>
        <v/>
      </c>
      <c r="CI451" s="86" t="str">
        <f t="shared" si="10"/>
        <v/>
      </c>
      <c r="CJ451" s="86" t="str">
        <f t="shared" si="11"/>
        <v/>
      </c>
      <c r="CK451" s="86" t="str">
        <f t="shared" si="12"/>
        <v/>
      </c>
      <c r="CL451" s="86" t="str">
        <f t="shared" si="13"/>
        <v/>
      </c>
      <c r="CM451" s="87" t="str">
        <f t="shared" si="14"/>
        <v/>
      </c>
      <c r="CN451" s="88" t="str">
        <f t="shared" si="26"/>
        <v/>
      </c>
      <c r="CO451" s="88" t="str">
        <f t="shared" si="15"/>
        <v/>
      </c>
      <c r="CP451" s="88" t="str">
        <f t="shared" si="16"/>
        <v/>
      </c>
      <c r="CQ451" s="88" t="str">
        <f t="shared" si="17"/>
        <v/>
      </c>
      <c r="CR451" s="88" t="str">
        <f t="shared" si="18"/>
        <v/>
      </c>
      <c r="CS451" s="88" t="str">
        <f t="shared" si="19"/>
        <v/>
      </c>
      <c r="CT451" s="88" t="str">
        <f t="shared" si="20"/>
        <v/>
      </c>
      <c r="CU451" s="88" t="str">
        <f t="shared" si="21"/>
        <v/>
      </c>
      <c r="CV451" s="88" t="str">
        <f t="shared" si="22"/>
        <v/>
      </c>
      <c r="CW451" s="88" t="str">
        <f t="shared" si="23"/>
        <v/>
      </c>
      <c r="CX451" s="7"/>
      <c r="CY451" s="7"/>
      <c r="CZ451" s="7"/>
      <c r="DA451" s="8"/>
      <c r="DU451" s="93" t="str">
        <f t="shared" si="24"/>
        <v/>
      </c>
      <c r="DV451" s="93" t="str">
        <f>ABA!$A451</f>
        <v/>
      </c>
      <c r="DW451" s="82" t="str">
        <f t="shared" si="25"/>
        <v/>
      </c>
    </row>
    <row r="452" ht="15.75" customHeight="1">
      <c r="A452" s="85"/>
      <c r="B452" s="107"/>
      <c r="C452" s="98"/>
      <c r="D452" s="98"/>
      <c r="E452" s="99"/>
      <c r="F452" s="98"/>
      <c r="G452" s="98"/>
      <c r="H452" s="98"/>
      <c r="I452" s="99"/>
      <c r="J452" s="98"/>
      <c r="K452" s="98"/>
      <c r="L452" s="98"/>
      <c r="M452" s="99"/>
      <c r="N452" s="98"/>
      <c r="O452" s="98"/>
      <c r="P452" s="98"/>
      <c r="Q452" s="99"/>
      <c r="R452" s="98"/>
      <c r="S452" s="98"/>
      <c r="T452" s="98"/>
      <c r="U452" s="99"/>
      <c r="V452" s="98"/>
      <c r="W452" s="98"/>
      <c r="X452" s="98"/>
      <c r="Y452" s="100"/>
      <c r="Z452" s="98"/>
      <c r="AA452" s="98"/>
      <c r="AB452" s="98"/>
      <c r="AC452" s="99"/>
      <c r="AD452" s="98"/>
      <c r="AE452" s="98"/>
      <c r="AF452" s="98"/>
      <c r="AG452" s="99"/>
      <c r="AH452" s="98"/>
      <c r="AI452" s="98"/>
      <c r="AJ452" s="98"/>
      <c r="AK452" s="99"/>
      <c r="AL452" s="98"/>
      <c r="AM452" s="98"/>
      <c r="AN452" s="98"/>
      <c r="AO452" s="98"/>
      <c r="AP452" s="84" t="str">
        <f t="shared" si="2"/>
        <v/>
      </c>
      <c r="AQ452" s="9"/>
      <c r="AR452" s="9"/>
      <c r="AS452" s="8"/>
      <c r="AT452" s="9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8"/>
      <c r="BX452" s="9"/>
      <c r="BY452" s="9"/>
      <c r="BZ452" s="9"/>
      <c r="CA452" s="33"/>
      <c r="CB452" s="85" t="str">
        <f t="shared" si="3"/>
        <v/>
      </c>
      <c r="CC452" s="86" t="str">
        <f t="shared" si="4"/>
        <v/>
      </c>
      <c r="CD452" s="86" t="str">
        <f t="shared" si="5"/>
        <v/>
      </c>
      <c r="CE452" s="86" t="str">
        <f t="shared" si="6"/>
        <v/>
      </c>
      <c r="CF452" s="86" t="str">
        <f t="shared" si="7"/>
        <v/>
      </c>
      <c r="CG452" s="86" t="str">
        <f t="shared" si="8"/>
        <v/>
      </c>
      <c r="CH452" s="86" t="str">
        <f t="shared" si="9"/>
        <v/>
      </c>
      <c r="CI452" s="86" t="str">
        <f t="shared" si="10"/>
        <v/>
      </c>
      <c r="CJ452" s="86" t="str">
        <f t="shared" si="11"/>
        <v/>
      </c>
      <c r="CK452" s="86" t="str">
        <f t="shared" si="12"/>
        <v/>
      </c>
      <c r="CL452" s="86" t="str">
        <f t="shared" si="13"/>
        <v/>
      </c>
      <c r="CM452" s="87" t="str">
        <f t="shared" si="14"/>
        <v/>
      </c>
      <c r="CN452" s="88" t="str">
        <f t="shared" si="26"/>
        <v/>
      </c>
      <c r="CO452" s="88" t="str">
        <f t="shared" si="15"/>
        <v/>
      </c>
      <c r="CP452" s="88" t="str">
        <f t="shared" si="16"/>
        <v/>
      </c>
      <c r="CQ452" s="88" t="str">
        <f t="shared" si="17"/>
        <v/>
      </c>
      <c r="CR452" s="88" t="str">
        <f t="shared" si="18"/>
        <v/>
      </c>
      <c r="CS452" s="88" t="str">
        <f t="shared" si="19"/>
        <v/>
      </c>
      <c r="CT452" s="88" t="str">
        <f t="shared" si="20"/>
        <v/>
      </c>
      <c r="CU452" s="88" t="str">
        <f t="shared" si="21"/>
        <v/>
      </c>
      <c r="CV452" s="88" t="str">
        <f t="shared" si="22"/>
        <v/>
      </c>
      <c r="CW452" s="88" t="str">
        <f t="shared" si="23"/>
        <v/>
      </c>
      <c r="CX452" s="7"/>
      <c r="CY452" s="7"/>
      <c r="CZ452" s="7"/>
      <c r="DA452" s="8"/>
      <c r="DU452" s="104" t="str">
        <f t="shared" si="24"/>
        <v/>
      </c>
      <c r="DV452" s="104" t="str">
        <f>ABA!$A452</f>
        <v/>
      </c>
      <c r="DW452" s="98" t="str">
        <f t="shared" si="25"/>
        <v/>
      </c>
    </row>
    <row r="453" ht="15.75" customHeight="1">
      <c r="A453" s="78"/>
      <c r="B453" s="105"/>
      <c r="C453" s="82"/>
      <c r="D453" s="82"/>
      <c r="E453" s="83"/>
      <c r="F453" s="82"/>
      <c r="G453" s="82"/>
      <c r="H453" s="82"/>
      <c r="I453" s="83"/>
      <c r="J453" s="82"/>
      <c r="K453" s="82"/>
      <c r="L453" s="82"/>
      <c r="M453" s="83"/>
      <c r="N453" s="82"/>
      <c r="O453" s="82"/>
      <c r="P453" s="82"/>
      <c r="Q453" s="83"/>
      <c r="R453" s="82"/>
      <c r="S453" s="82"/>
      <c r="T453" s="82"/>
      <c r="U453" s="83"/>
      <c r="V453" s="82"/>
      <c r="W453" s="82"/>
      <c r="X453" s="82"/>
      <c r="Y453" s="83"/>
      <c r="Z453" s="82"/>
      <c r="AA453" s="82"/>
      <c r="AB453" s="82"/>
      <c r="AC453" s="83"/>
      <c r="AD453" s="82"/>
      <c r="AE453" s="82"/>
      <c r="AF453" s="82"/>
      <c r="AG453" s="83"/>
      <c r="AH453" s="82"/>
      <c r="AI453" s="82"/>
      <c r="AJ453" s="82"/>
      <c r="AK453" s="83"/>
      <c r="AL453" s="82"/>
      <c r="AM453" s="82"/>
      <c r="AN453" s="82"/>
      <c r="AO453" s="82"/>
      <c r="AP453" s="84" t="str">
        <f t="shared" si="2"/>
        <v/>
      </c>
      <c r="AQ453" s="9"/>
      <c r="AR453" s="9"/>
      <c r="AS453" s="8"/>
      <c r="AT453" s="9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8"/>
      <c r="BX453" s="9"/>
      <c r="BY453" s="9"/>
      <c r="BZ453" s="9"/>
      <c r="CA453" s="33"/>
      <c r="CB453" s="85" t="str">
        <f t="shared" si="3"/>
        <v/>
      </c>
      <c r="CC453" s="86" t="str">
        <f t="shared" si="4"/>
        <v/>
      </c>
      <c r="CD453" s="86" t="str">
        <f t="shared" si="5"/>
        <v/>
      </c>
      <c r="CE453" s="86" t="str">
        <f t="shared" si="6"/>
        <v/>
      </c>
      <c r="CF453" s="86" t="str">
        <f t="shared" si="7"/>
        <v/>
      </c>
      <c r="CG453" s="86" t="str">
        <f t="shared" si="8"/>
        <v/>
      </c>
      <c r="CH453" s="86" t="str">
        <f t="shared" si="9"/>
        <v/>
      </c>
      <c r="CI453" s="86" t="str">
        <f t="shared" si="10"/>
        <v/>
      </c>
      <c r="CJ453" s="86" t="str">
        <f t="shared" si="11"/>
        <v/>
      </c>
      <c r="CK453" s="86" t="str">
        <f t="shared" si="12"/>
        <v/>
      </c>
      <c r="CL453" s="86" t="str">
        <f t="shared" si="13"/>
        <v/>
      </c>
      <c r="CM453" s="87" t="str">
        <f t="shared" si="14"/>
        <v/>
      </c>
      <c r="CN453" s="88" t="str">
        <f t="shared" si="26"/>
        <v/>
      </c>
      <c r="CO453" s="88" t="str">
        <f t="shared" si="15"/>
        <v/>
      </c>
      <c r="CP453" s="88" t="str">
        <f t="shared" si="16"/>
        <v/>
      </c>
      <c r="CQ453" s="88" t="str">
        <f t="shared" si="17"/>
        <v/>
      </c>
      <c r="CR453" s="88" t="str">
        <f t="shared" si="18"/>
        <v/>
      </c>
      <c r="CS453" s="88" t="str">
        <f t="shared" si="19"/>
        <v/>
      </c>
      <c r="CT453" s="88" t="str">
        <f t="shared" si="20"/>
        <v/>
      </c>
      <c r="CU453" s="88" t="str">
        <f t="shared" si="21"/>
        <v/>
      </c>
      <c r="CV453" s="88" t="str">
        <f t="shared" si="22"/>
        <v/>
      </c>
      <c r="CW453" s="88" t="str">
        <f t="shared" si="23"/>
        <v/>
      </c>
      <c r="CX453" s="7"/>
      <c r="CY453" s="7"/>
      <c r="CZ453" s="7"/>
      <c r="DA453" s="8"/>
      <c r="DU453" s="93" t="str">
        <f t="shared" si="24"/>
        <v/>
      </c>
      <c r="DV453" s="93" t="str">
        <f>ABA!$A453</f>
        <v/>
      </c>
      <c r="DW453" s="82" t="str">
        <f t="shared" si="25"/>
        <v/>
      </c>
    </row>
    <row r="454" ht="15.75" customHeight="1">
      <c r="A454" s="85"/>
      <c r="B454" s="107"/>
      <c r="C454" s="98"/>
      <c r="D454" s="98"/>
      <c r="E454" s="99"/>
      <c r="F454" s="98"/>
      <c r="G454" s="98"/>
      <c r="H454" s="98"/>
      <c r="I454" s="99"/>
      <c r="J454" s="98"/>
      <c r="K454" s="98"/>
      <c r="L454" s="98"/>
      <c r="M454" s="99"/>
      <c r="N454" s="98"/>
      <c r="O454" s="98"/>
      <c r="P454" s="98"/>
      <c r="Q454" s="99"/>
      <c r="R454" s="98"/>
      <c r="S454" s="98"/>
      <c r="T454" s="98"/>
      <c r="U454" s="99"/>
      <c r="V454" s="98"/>
      <c r="W454" s="98"/>
      <c r="X454" s="98"/>
      <c r="Y454" s="100"/>
      <c r="Z454" s="98"/>
      <c r="AA454" s="98"/>
      <c r="AB454" s="98"/>
      <c r="AC454" s="99"/>
      <c r="AD454" s="98"/>
      <c r="AE454" s="98"/>
      <c r="AF454" s="98"/>
      <c r="AG454" s="99"/>
      <c r="AH454" s="98"/>
      <c r="AI454" s="98"/>
      <c r="AJ454" s="98"/>
      <c r="AK454" s="99"/>
      <c r="AL454" s="98"/>
      <c r="AM454" s="98"/>
      <c r="AN454" s="98"/>
      <c r="AO454" s="98"/>
      <c r="AP454" s="84" t="str">
        <f t="shared" si="2"/>
        <v/>
      </c>
      <c r="AQ454" s="9"/>
      <c r="AR454" s="9"/>
      <c r="AS454" s="8"/>
      <c r="AT454" s="9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8"/>
      <c r="BX454" s="9"/>
      <c r="BY454" s="9"/>
      <c r="BZ454" s="9"/>
      <c r="CA454" s="33"/>
      <c r="CB454" s="85" t="str">
        <f t="shared" si="3"/>
        <v/>
      </c>
      <c r="CC454" s="86" t="str">
        <f t="shared" si="4"/>
        <v/>
      </c>
      <c r="CD454" s="86" t="str">
        <f t="shared" si="5"/>
        <v/>
      </c>
      <c r="CE454" s="86" t="str">
        <f t="shared" si="6"/>
        <v/>
      </c>
      <c r="CF454" s="86" t="str">
        <f t="shared" si="7"/>
        <v/>
      </c>
      <c r="CG454" s="86" t="str">
        <f t="shared" si="8"/>
        <v/>
      </c>
      <c r="CH454" s="86" t="str">
        <f t="shared" si="9"/>
        <v/>
      </c>
      <c r="CI454" s="86" t="str">
        <f t="shared" si="10"/>
        <v/>
      </c>
      <c r="CJ454" s="86" t="str">
        <f t="shared" si="11"/>
        <v/>
      </c>
      <c r="CK454" s="86" t="str">
        <f t="shared" si="12"/>
        <v/>
      </c>
      <c r="CL454" s="86" t="str">
        <f t="shared" si="13"/>
        <v/>
      </c>
      <c r="CM454" s="87" t="str">
        <f t="shared" si="14"/>
        <v/>
      </c>
      <c r="CN454" s="88" t="str">
        <f t="shared" si="26"/>
        <v/>
      </c>
      <c r="CO454" s="88" t="str">
        <f t="shared" si="15"/>
        <v/>
      </c>
      <c r="CP454" s="88" t="str">
        <f t="shared" si="16"/>
        <v/>
      </c>
      <c r="CQ454" s="88" t="str">
        <f t="shared" si="17"/>
        <v/>
      </c>
      <c r="CR454" s="88" t="str">
        <f t="shared" si="18"/>
        <v/>
      </c>
      <c r="CS454" s="88" t="str">
        <f t="shared" si="19"/>
        <v/>
      </c>
      <c r="CT454" s="88" t="str">
        <f t="shared" si="20"/>
        <v/>
      </c>
      <c r="CU454" s="88" t="str">
        <f t="shared" si="21"/>
        <v/>
      </c>
      <c r="CV454" s="88" t="str">
        <f t="shared" si="22"/>
        <v/>
      </c>
      <c r="CW454" s="88" t="str">
        <f t="shared" si="23"/>
        <v/>
      </c>
      <c r="CX454" s="7"/>
      <c r="CY454" s="7"/>
      <c r="CZ454" s="7"/>
      <c r="DA454" s="8"/>
      <c r="DU454" s="104" t="str">
        <f t="shared" si="24"/>
        <v/>
      </c>
      <c r="DV454" s="104" t="str">
        <f>ABA!$A454</f>
        <v/>
      </c>
      <c r="DW454" s="98" t="str">
        <f t="shared" si="25"/>
        <v/>
      </c>
    </row>
    <row r="455" ht="15.75" customHeight="1">
      <c r="A455" s="78"/>
      <c r="B455" s="105"/>
      <c r="C455" s="82"/>
      <c r="D455" s="82"/>
      <c r="E455" s="83"/>
      <c r="F455" s="82"/>
      <c r="G455" s="82"/>
      <c r="H455" s="82"/>
      <c r="I455" s="83"/>
      <c r="J455" s="82"/>
      <c r="K455" s="82"/>
      <c r="L455" s="82"/>
      <c r="M455" s="83"/>
      <c r="N455" s="82"/>
      <c r="O455" s="82"/>
      <c r="P455" s="82"/>
      <c r="Q455" s="83"/>
      <c r="R455" s="82"/>
      <c r="S455" s="82"/>
      <c r="T455" s="82"/>
      <c r="U455" s="83"/>
      <c r="V455" s="82"/>
      <c r="W455" s="82"/>
      <c r="X455" s="82"/>
      <c r="Y455" s="83"/>
      <c r="Z455" s="82"/>
      <c r="AA455" s="82"/>
      <c r="AB455" s="82"/>
      <c r="AC455" s="83"/>
      <c r="AD455" s="82"/>
      <c r="AE455" s="82"/>
      <c r="AF455" s="82"/>
      <c r="AG455" s="83"/>
      <c r="AH455" s="82"/>
      <c r="AI455" s="82"/>
      <c r="AJ455" s="82"/>
      <c r="AK455" s="83"/>
      <c r="AL455" s="82"/>
      <c r="AM455" s="82"/>
      <c r="AN455" s="82"/>
      <c r="AO455" s="82"/>
      <c r="AP455" s="84" t="str">
        <f t="shared" si="2"/>
        <v/>
      </c>
      <c r="AQ455" s="9"/>
      <c r="AR455" s="9"/>
      <c r="AS455" s="8"/>
      <c r="AT455" s="9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8"/>
      <c r="BX455" s="9"/>
      <c r="BY455" s="9"/>
      <c r="BZ455" s="9"/>
      <c r="CA455" s="33"/>
      <c r="CB455" s="85" t="str">
        <f t="shared" si="3"/>
        <v/>
      </c>
      <c r="CC455" s="86" t="str">
        <f t="shared" si="4"/>
        <v/>
      </c>
      <c r="CD455" s="86" t="str">
        <f t="shared" si="5"/>
        <v/>
      </c>
      <c r="CE455" s="86" t="str">
        <f t="shared" si="6"/>
        <v/>
      </c>
      <c r="CF455" s="86" t="str">
        <f t="shared" si="7"/>
        <v/>
      </c>
      <c r="CG455" s="86" t="str">
        <f t="shared" si="8"/>
        <v/>
      </c>
      <c r="CH455" s="86" t="str">
        <f t="shared" si="9"/>
        <v/>
      </c>
      <c r="CI455" s="86" t="str">
        <f t="shared" si="10"/>
        <v/>
      </c>
      <c r="CJ455" s="86" t="str">
        <f t="shared" si="11"/>
        <v/>
      </c>
      <c r="CK455" s="86" t="str">
        <f t="shared" si="12"/>
        <v/>
      </c>
      <c r="CL455" s="86" t="str">
        <f t="shared" si="13"/>
        <v/>
      </c>
      <c r="CM455" s="87" t="str">
        <f t="shared" si="14"/>
        <v/>
      </c>
      <c r="CN455" s="88" t="str">
        <f t="shared" si="26"/>
        <v/>
      </c>
      <c r="CO455" s="88" t="str">
        <f t="shared" si="15"/>
        <v/>
      </c>
      <c r="CP455" s="88" t="str">
        <f t="shared" si="16"/>
        <v/>
      </c>
      <c r="CQ455" s="88" t="str">
        <f t="shared" si="17"/>
        <v/>
      </c>
      <c r="CR455" s="88" t="str">
        <f t="shared" si="18"/>
        <v/>
      </c>
      <c r="CS455" s="88" t="str">
        <f t="shared" si="19"/>
        <v/>
      </c>
      <c r="CT455" s="88" t="str">
        <f t="shared" si="20"/>
        <v/>
      </c>
      <c r="CU455" s="88" t="str">
        <f t="shared" si="21"/>
        <v/>
      </c>
      <c r="CV455" s="88" t="str">
        <f t="shared" si="22"/>
        <v/>
      </c>
      <c r="CW455" s="88" t="str">
        <f t="shared" si="23"/>
        <v/>
      </c>
      <c r="CX455" s="7"/>
      <c r="CY455" s="7"/>
      <c r="CZ455" s="7"/>
      <c r="DA455" s="8"/>
      <c r="DU455" s="93" t="str">
        <f t="shared" si="24"/>
        <v/>
      </c>
      <c r="DV455" s="93" t="str">
        <f>ABA!$A455</f>
        <v/>
      </c>
      <c r="DW455" s="82" t="str">
        <f t="shared" si="25"/>
        <v/>
      </c>
    </row>
    <row r="456" ht="15.75" customHeight="1">
      <c r="A456" s="85"/>
      <c r="B456" s="107"/>
      <c r="C456" s="98"/>
      <c r="D456" s="98"/>
      <c r="E456" s="99"/>
      <c r="F456" s="98"/>
      <c r="G456" s="98"/>
      <c r="H456" s="98"/>
      <c r="I456" s="99"/>
      <c r="J456" s="98"/>
      <c r="K456" s="98"/>
      <c r="L456" s="98"/>
      <c r="M456" s="99"/>
      <c r="N456" s="98"/>
      <c r="O456" s="98"/>
      <c r="P456" s="98"/>
      <c r="Q456" s="99"/>
      <c r="R456" s="98"/>
      <c r="S456" s="98"/>
      <c r="T456" s="98"/>
      <c r="U456" s="99"/>
      <c r="V456" s="98"/>
      <c r="W456" s="98"/>
      <c r="X456" s="98"/>
      <c r="Y456" s="100"/>
      <c r="Z456" s="98"/>
      <c r="AA456" s="98"/>
      <c r="AB456" s="98"/>
      <c r="AC456" s="99"/>
      <c r="AD456" s="98"/>
      <c r="AE456" s="98"/>
      <c r="AF456" s="98"/>
      <c r="AG456" s="99"/>
      <c r="AH456" s="98"/>
      <c r="AI456" s="98"/>
      <c r="AJ456" s="98"/>
      <c r="AK456" s="99"/>
      <c r="AL456" s="98"/>
      <c r="AM456" s="98"/>
      <c r="AN456" s="98"/>
      <c r="AO456" s="98"/>
      <c r="AP456" s="84" t="str">
        <f t="shared" si="2"/>
        <v/>
      </c>
      <c r="AQ456" s="9"/>
      <c r="AR456" s="9"/>
      <c r="AS456" s="8"/>
      <c r="AT456" s="9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8"/>
      <c r="BX456" s="9"/>
      <c r="BY456" s="9"/>
      <c r="BZ456" s="9"/>
      <c r="CA456" s="33"/>
      <c r="CB456" s="85" t="str">
        <f t="shared" si="3"/>
        <v/>
      </c>
      <c r="CC456" s="86" t="str">
        <f t="shared" si="4"/>
        <v/>
      </c>
      <c r="CD456" s="86" t="str">
        <f t="shared" si="5"/>
        <v/>
      </c>
      <c r="CE456" s="86" t="str">
        <f t="shared" si="6"/>
        <v/>
      </c>
      <c r="CF456" s="86" t="str">
        <f t="shared" si="7"/>
        <v/>
      </c>
      <c r="CG456" s="86" t="str">
        <f t="shared" si="8"/>
        <v/>
      </c>
      <c r="CH456" s="86" t="str">
        <f t="shared" si="9"/>
        <v/>
      </c>
      <c r="CI456" s="86" t="str">
        <f t="shared" si="10"/>
        <v/>
      </c>
      <c r="CJ456" s="86" t="str">
        <f t="shared" si="11"/>
        <v/>
      </c>
      <c r="CK456" s="86" t="str">
        <f t="shared" si="12"/>
        <v/>
      </c>
      <c r="CL456" s="86" t="str">
        <f t="shared" si="13"/>
        <v/>
      </c>
      <c r="CM456" s="87" t="str">
        <f t="shared" si="14"/>
        <v/>
      </c>
      <c r="CN456" s="88" t="str">
        <f t="shared" si="26"/>
        <v/>
      </c>
      <c r="CO456" s="88" t="str">
        <f t="shared" si="15"/>
        <v/>
      </c>
      <c r="CP456" s="88" t="str">
        <f t="shared" si="16"/>
        <v/>
      </c>
      <c r="CQ456" s="88" t="str">
        <f t="shared" si="17"/>
        <v/>
      </c>
      <c r="CR456" s="88" t="str">
        <f t="shared" si="18"/>
        <v/>
      </c>
      <c r="CS456" s="88" t="str">
        <f t="shared" si="19"/>
        <v/>
      </c>
      <c r="CT456" s="88" t="str">
        <f t="shared" si="20"/>
        <v/>
      </c>
      <c r="CU456" s="88" t="str">
        <f t="shared" si="21"/>
        <v/>
      </c>
      <c r="CV456" s="88" t="str">
        <f t="shared" si="22"/>
        <v/>
      </c>
      <c r="CW456" s="88" t="str">
        <f t="shared" si="23"/>
        <v/>
      </c>
      <c r="CX456" s="7"/>
      <c r="CY456" s="7"/>
      <c r="CZ456" s="7"/>
      <c r="DA456" s="8"/>
      <c r="DU456" s="104" t="str">
        <f t="shared" si="24"/>
        <v/>
      </c>
      <c r="DV456" s="104" t="str">
        <f>ABA!$A456</f>
        <v/>
      </c>
      <c r="DW456" s="98" t="str">
        <f t="shared" si="25"/>
        <v/>
      </c>
    </row>
    <row r="457" ht="15.75" customHeight="1">
      <c r="A457" s="78"/>
      <c r="B457" s="105"/>
      <c r="C457" s="82"/>
      <c r="D457" s="82"/>
      <c r="E457" s="83"/>
      <c r="F457" s="82"/>
      <c r="G457" s="82"/>
      <c r="H457" s="82"/>
      <c r="I457" s="83"/>
      <c r="J457" s="82"/>
      <c r="K457" s="82"/>
      <c r="L457" s="82"/>
      <c r="M457" s="83"/>
      <c r="N457" s="82"/>
      <c r="O457" s="82"/>
      <c r="P457" s="82"/>
      <c r="Q457" s="83"/>
      <c r="R457" s="82"/>
      <c r="S457" s="82"/>
      <c r="T457" s="82"/>
      <c r="U457" s="83"/>
      <c r="V457" s="82"/>
      <c r="W457" s="82"/>
      <c r="X457" s="82"/>
      <c r="Y457" s="83"/>
      <c r="Z457" s="82"/>
      <c r="AA457" s="82"/>
      <c r="AB457" s="82"/>
      <c r="AC457" s="83"/>
      <c r="AD457" s="82"/>
      <c r="AE457" s="82"/>
      <c r="AF457" s="82"/>
      <c r="AG457" s="83"/>
      <c r="AH457" s="82"/>
      <c r="AI457" s="82"/>
      <c r="AJ457" s="82"/>
      <c r="AK457" s="83"/>
      <c r="AL457" s="82"/>
      <c r="AM457" s="82"/>
      <c r="AN457" s="82"/>
      <c r="AO457" s="82"/>
      <c r="AP457" s="84" t="str">
        <f t="shared" si="2"/>
        <v/>
      </c>
      <c r="AQ457" s="9"/>
      <c r="AR457" s="9"/>
      <c r="AS457" s="8"/>
      <c r="AT457" s="9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8"/>
      <c r="BX457" s="9"/>
      <c r="BY457" s="9"/>
      <c r="BZ457" s="9"/>
      <c r="CA457" s="33"/>
      <c r="CB457" s="85" t="str">
        <f t="shared" si="3"/>
        <v/>
      </c>
      <c r="CC457" s="86" t="str">
        <f t="shared" si="4"/>
        <v/>
      </c>
      <c r="CD457" s="86" t="str">
        <f t="shared" si="5"/>
        <v/>
      </c>
      <c r="CE457" s="86" t="str">
        <f t="shared" si="6"/>
        <v/>
      </c>
      <c r="CF457" s="86" t="str">
        <f t="shared" si="7"/>
        <v/>
      </c>
      <c r="CG457" s="86" t="str">
        <f t="shared" si="8"/>
        <v/>
      </c>
      <c r="CH457" s="86" t="str">
        <f t="shared" si="9"/>
        <v/>
      </c>
      <c r="CI457" s="86" t="str">
        <f t="shared" si="10"/>
        <v/>
      </c>
      <c r="CJ457" s="86" t="str">
        <f t="shared" si="11"/>
        <v/>
      </c>
      <c r="CK457" s="86" t="str">
        <f t="shared" si="12"/>
        <v/>
      </c>
      <c r="CL457" s="86" t="str">
        <f t="shared" si="13"/>
        <v/>
      </c>
      <c r="CM457" s="87" t="str">
        <f t="shared" si="14"/>
        <v/>
      </c>
      <c r="CN457" s="88" t="str">
        <f t="shared" si="26"/>
        <v/>
      </c>
      <c r="CO457" s="88" t="str">
        <f t="shared" si="15"/>
        <v/>
      </c>
      <c r="CP457" s="88" t="str">
        <f t="shared" si="16"/>
        <v/>
      </c>
      <c r="CQ457" s="88" t="str">
        <f t="shared" si="17"/>
        <v/>
      </c>
      <c r="CR457" s="88" t="str">
        <f t="shared" si="18"/>
        <v/>
      </c>
      <c r="CS457" s="88" t="str">
        <f t="shared" si="19"/>
        <v/>
      </c>
      <c r="CT457" s="88" t="str">
        <f t="shared" si="20"/>
        <v/>
      </c>
      <c r="CU457" s="88" t="str">
        <f t="shared" si="21"/>
        <v/>
      </c>
      <c r="CV457" s="88" t="str">
        <f t="shared" si="22"/>
        <v/>
      </c>
      <c r="CW457" s="88" t="str">
        <f t="shared" si="23"/>
        <v/>
      </c>
      <c r="CX457" s="7"/>
      <c r="CY457" s="7"/>
      <c r="CZ457" s="7"/>
      <c r="DA457" s="8"/>
      <c r="DU457" s="93" t="str">
        <f t="shared" si="24"/>
        <v/>
      </c>
      <c r="DV457" s="93" t="str">
        <f>ABA!$A457</f>
        <v/>
      </c>
      <c r="DW457" s="82" t="str">
        <f t="shared" si="25"/>
        <v/>
      </c>
    </row>
    <row r="458" ht="15.75" customHeight="1">
      <c r="A458" s="85"/>
      <c r="B458" s="107"/>
      <c r="C458" s="98"/>
      <c r="D458" s="98"/>
      <c r="E458" s="99"/>
      <c r="F458" s="98"/>
      <c r="G458" s="98"/>
      <c r="H458" s="98"/>
      <c r="I458" s="99"/>
      <c r="J458" s="98"/>
      <c r="K458" s="98"/>
      <c r="L458" s="98"/>
      <c r="M458" s="99"/>
      <c r="N458" s="98"/>
      <c r="O458" s="98"/>
      <c r="P458" s="98"/>
      <c r="Q458" s="99"/>
      <c r="R458" s="98"/>
      <c r="S458" s="98"/>
      <c r="T458" s="98"/>
      <c r="U458" s="99"/>
      <c r="V458" s="98"/>
      <c r="W458" s="98"/>
      <c r="X458" s="98"/>
      <c r="Y458" s="100"/>
      <c r="Z458" s="98"/>
      <c r="AA458" s="98"/>
      <c r="AB458" s="98"/>
      <c r="AC458" s="99"/>
      <c r="AD458" s="98"/>
      <c r="AE458" s="98"/>
      <c r="AF458" s="98"/>
      <c r="AG458" s="99"/>
      <c r="AH458" s="98"/>
      <c r="AI458" s="98"/>
      <c r="AJ458" s="98"/>
      <c r="AK458" s="99"/>
      <c r="AL458" s="98"/>
      <c r="AM458" s="98"/>
      <c r="AN458" s="98"/>
      <c r="AO458" s="98"/>
      <c r="AP458" s="84" t="str">
        <f t="shared" si="2"/>
        <v/>
      </c>
      <c r="AQ458" s="9"/>
      <c r="AR458" s="9"/>
      <c r="AS458" s="8"/>
      <c r="AT458" s="9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8"/>
      <c r="BX458" s="9"/>
      <c r="BY458" s="9"/>
      <c r="BZ458" s="9"/>
      <c r="CA458" s="33"/>
      <c r="CB458" s="85" t="str">
        <f t="shared" si="3"/>
        <v/>
      </c>
      <c r="CC458" s="86" t="str">
        <f t="shared" si="4"/>
        <v/>
      </c>
      <c r="CD458" s="86" t="str">
        <f t="shared" si="5"/>
        <v/>
      </c>
      <c r="CE458" s="86" t="str">
        <f t="shared" si="6"/>
        <v/>
      </c>
      <c r="CF458" s="86" t="str">
        <f t="shared" si="7"/>
        <v/>
      </c>
      <c r="CG458" s="86" t="str">
        <f t="shared" si="8"/>
        <v/>
      </c>
      <c r="CH458" s="86" t="str">
        <f t="shared" si="9"/>
        <v/>
      </c>
      <c r="CI458" s="86" t="str">
        <f t="shared" si="10"/>
        <v/>
      </c>
      <c r="CJ458" s="86" t="str">
        <f t="shared" si="11"/>
        <v/>
      </c>
      <c r="CK458" s="86" t="str">
        <f t="shared" si="12"/>
        <v/>
      </c>
      <c r="CL458" s="86" t="str">
        <f t="shared" si="13"/>
        <v/>
      </c>
      <c r="CM458" s="87" t="str">
        <f t="shared" si="14"/>
        <v/>
      </c>
      <c r="CN458" s="88" t="str">
        <f t="shared" si="26"/>
        <v/>
      </c>
      <c r="CO458" s="88" t="str">
        <f t="shared" si="15"/>
        <v/>
      </c>
      <c r="CP458" s="88" t="str">
        <f t="shared" si="16"/>
        <v/>
      </c>
      <c r="CQ458" s="88" t="str">
        <f t="shared" si="17"/>
        <v/>
      </c>
      <c r="CR458" s="88" t="str">
        <f t="shared" si="18"/>
        <v/>
      </c>
      <c r="CS458" s="88" t="str">
        <f t="shared" si="19"/>
        <v/>
      </c>
      <c r="CT458" s="88" t="str">
        <f t="shared" si="20"/>
        <v/>
      </c>
      <c r="CU458" s="88" t="str">
        <f t="shared" si="21"/>
        <v/>
      </c>
      <c r="CV458" s="88" t="str">
        <f t="shared" si="22"/>
        <v/>
      </c>
      <c r="CW458" s="88" t="str">
        <f t="shared" si="23"/>
        <v/>
      </c>
      <c r="CX458" s="7"/>
      <c r="CY458" s="7"/>
      <c r="CZ458" s="7"/>
      <c r="DA458" s="8"/>
      <c r="DU458" s="104" t="str">
        <f t="shared" si="24"/>
        <v/>
      </c>
      <c r="DV458" s="104" t="str">
        <f>ABA!$A458</f>
        <v/>
      </c>
      <c r="DW458" s="98" t="str">
        <f t="shared" si="25"/>
        <v/>
      </c>
    </row>
    <row r="459" ht="15.75" customHeight="1">
      <c r="A459" s="78"/>
      <c r="B459" s="105"/>
      <c r="C459" s="82"/>
      <c r="D459" s="82"/>
      <c r="E459" s="83"/>
      <c r="F459" s="82"/>
      <c r="G459" s="82"/>
      <c r="H459" s="82"/>
      <c r="I459" s="83"/>
      <c r="J459" s="82"/>
      <c r="K459" s="82"/>
      <c r="L459" s="82"/>
      <c r="M459" s="83"/>
      <c r="N459" s="82"/>
      <c r="O459" s="82"/>
      <c r="P459" s="82"/>
      <c r="Q459" s="83"/>
      <c r="R459" s="82"/>
      <c r="S459" s="82"/>
      <c r="T459" s="82"/>
      <c r="U459" s="83"/>
      <c r="V459" s="82"/>
      <c r="W459" s="82"/>
      <c r="X459" s="82"/>
      <c r="Y459" s="83"/>
      <c r="Z459" s="82"/>
      <c r="AA459" s="82"/>
      <c r="AB459" s="82"/>
      <c r="AC459" s="83"/>
      <c r="AD459" s="82"/>
      <c r="AE459" s="82"/>
      <c r="AF459" s="82"/>
      <c r="AG459" s="83"/>
      <c r="AH459" s="82"/>
      <c r="AI459" s="82"/>
      <c r="AJ459" s="82"/>
      <c r="AK459" s="83"/>
      <c r="AL459" s="82"/>
      <c r="AM459" s="82"/>
      <c r="AN459" s="82"/>
      <c r="AO459" s="82"/>
      <c r="AP459" s="84" t="str">
        <f t="shared" si="2"/>
        <v/>
      </c>
      <c r="AQ459" s="9"/>
      <c r="AR459" s="9"/>
      <c r="AS459" s="8"/>
      <c r="AT459" s="9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8"/>
      <c r="BX459" s="9"/>
      <c r="BY459" s="9"/>
      <c r="BZ459" s="9"/>
      <c r="CA459" s="33"/>
      <c r="CB459" s="85" t="str">
        <f t="shared" si="3"/>
        <v/>
      </c>
      <c r="CC459" s="86" t="str">
        <f t="shared" si="4"/>
        <v/>
      </c>
      <c r="CD459" s="86" t="str">
        <f t="shared" si="5"/>
        <v/>
      </c>
      <c r="CE459" s="86" t="str">
        <f t="shared" si="6"/>
        <v/>
      </c>
      <c r="CF459" s="86" t="str">
        <f t="shared" si="7"/>
        <v/>
      </c>
      <c r="CG459" s="86" t="str">
        <f t="shared" si="8"/>
        <v/>
      </c>
      <c r="CH459" s="86" t="str">
        <f t="shared" si="9"/>
        <v/>
      </c>
      <c r="CI459" s="86" t="str">
        <f t="shared" si="10"/>
        <v/>
      </c>
      <c r="CJ459" s="86" t="str">
        <f t="shared" si="11"/>
        <v/>
      </c>
      <c r="CK459" s="86" t="str">
        <f t="shared" si="12"/>
        <v/>
      </c>
      <c r="CL459" s="86" t="str">
        <f t="shared" si="13"/>
        <v/>
      </c>
      <c r="CM459" s="87" t="str">
        <f t="shared" si="14"/>
        <v/>
      </c>
      <c r="CN459" s="88" t="str">
        <f t="shared" si="26"/>
        <v/>
      </c>
      <c r="CO459" s="88" t="str">
        <f t="shared" si="15"/>
        <v/>
      </c>
      <c r="CP459" s="88" t="str">
        <f t="shared" si="16"/>
        <v/>
      </c>
      <c r="CQ459" s="88" t="str">
        <f t="shared" si="17"/>
        <v/>
      </c>
      <c r="CR459" s="88" t="str">
        <f t="shared" si="18"/>
        <v/>
      </c>
      <c r="CS459" s="88" t="str">
        <f t="shared" si="19"/>
        <v/>
      </c>
      <c r="CT459" s="88" t="str">
        <f t="shared" si="20"/>
        <v/>
      </c>
      <c r="CU459" s="88" t="str">
        <f t="shared" si="21"/>
        <v/>
      </c>
      <c r="CV459" s="88" t="str">
        <f t="shared" si="22"/>
        <v/>
      </c>
      <c r="CW459" s="88" t="str">
        <f t="shared" si="23"/>
        <v/>
      </c>
      <c r="CX459" s="7"/>
      <c r="CY459" s="7"/>
      <c r="CZ459" s="7"/>
      <c r="DA459" s="8"/>
      <c r="DU459" s="93" t="str">
        <f t="shared" si="24"/>
        <v/>
      </c>
      <c r="DV459" s="93" t="str">
        <f>ABA!$A459</f>
        <v/>
      </c>
      <c r="DW459" s="82" t="str">
        <f t="shared" si="25"/>
        <v/>
      </c>
    </row>
    <row r="460" ht="15.75" customHeight="1">
      <c r="A460" s="85"/>
      <c r="B460" s="107"/>
      <c r="C460" s="98"/>
      <c r="D460" s="98"/>
      <c r="E460" s="99"/>
      <c r="F460" s="98"/>
      <c r="G460" s="98"/>
      <c r="H460" s="98"/>
      <c r="I460" s="99"/>
      <c r="J460" s="98"/>
      <c r="K460" s="98"/>
      <c r="L460" s="98"/>
      <c r="M460" s="99"/>
      <c r="N460" s="98"/>
      <c r="O460" s="98"/>
      <c r="P460" s="98"/>
      <c r="Q460" s="99"/>
      <c r="R460" s="98"/>
      <c r="S460" s="98"/>
      <c r="T460" s="98"/>
      <c r="U460" s="99"/>
      <c r="V460" s="98"/>
      <c r="W460" s="98"/>
      <c r="X460" s="98"/>
      <c r="Y460" s="100"/>
      <c r="Z460" s="98"/>
      <c r="AA460" s="98"/>
      <c r="AB460" s="98"/>
      <c r="AC460" s="99"/>
      <c r="AD460" s="98"/>
      <c r="AE460" s="98"/>
      <c r="AF460" s="98"/>
      <c r="AG460" s="99"/>
      <c r="AH460" s="98"/>
      <c r="AI460" s="98"/>
      <c r="AJ460" s="98"/>
      <c r="AK460" s="99"/>
      <c r="AL460" s="98"/>
      <c r="AM460" s="98"/>
      <c r="AN460" s="98"/>
      <c r="AO460" s="98"/>
      <c r="AP460" s="84" t="str">
        <f t="shared" si="2"/>
        <v/>
      </c>
      <c r="AQ460" s="9"/>
      <c r="AR460" s="9"/>
      <c r="AS460" s="8"/>
      <c r="AT460" s="9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8"/>
      <c r="BX460" s="9"/>
      <c r="BY460" s="9"/>
      <c r="BZ460" s="9"/>
      <c r="CA460" s="33"/>
      <c r="CB460" s="85" t="str">
        <f t="shared" si="3"/>
        <v/>
      </c>
      <c r="CC460" s="86" t="str">
        <f t="shared" si="4"/>
        <v/>
      </c>
      <c r="CD460" s="86" t="str">
        <f t="shared" si="5"/>
        <v/>
      </c>
      <c r="CE460" s="86" t="str">
        <f t="shared" si="6"/>
        <v/>
      </c>
      <c r="CF460" s="86" t="str">
        <f t="shared" si="7"/>
        <v/>
      </c>
      <c r="CG460" s="86" t="str">
        <f t="shared" si="8"/>
        <v/>
      </c>
      <c r="CH460" s="86" t="str">
        <f t="shared" si="9"/>
        <v/>
      </c>
      <c r="CI460" s="86" t="str">
        <f t="shared" si="10"/>
        <v/>
      </c>
      <c r="CJ460" s="86" t="str">
        <f t="shared" si="11"/>
        <v/>
      </c>
      <c r="CK460" s="86" t="str">
        <f t="shared" si="12"/>
        <v/>
      </c>
      <c r="CL460" s="86" t="str">
        <f t="shared" si="13"/>
        <v/>
      </c>
      <c r="CM460" s="87" t="str">
        <f t="shared" si="14"/>
        <v/>
      </c>
      <c r="CN460" s="88" t="str">
        <f t="shared" si="26"/>
        <v/>
      </c>
      <c r="CO460" s="88" t="str">
        <f t="shared" si="15"/>
        <v/>
      </c>
      <c r="CP460" s="88" t="str">
        <f t="shared" si="16"/>
        <v/>
      </c>
      <c r="CQ460" s="88" t="str">
        <f t="shared" si="17"/>
        <v/>
      </c>
      <c r="CR460" s="88" t="str">
        <f t="shared" si="18"/>
        <v/>
      </c>
      <c r="CS460" s="88" t="str">
        <f t="shared" si="19"/>
        <v/>
      </c>
      <c r="CT460" s="88" t="str">
        <f t="shared" si="20"/>
        <v/>
      </c>
      <c r="CU460" s="88" t="str">
        <f t="shared" si="21"/>
        <v/>
      </c>
      <c r="CV460" s="88" t="str">
        <f t="shared" si="22"/>
        <v/>
      </c>
      <c r="CW460" s="88" t="str">
        <f t="shared" si="23"/>
        <v/>
      </c>
      <c r="CX460" s="7"/>
      <c r="CY460" s="7"/>
      <c r="CZ460" s="7"/>
      <c r="DA460" s="8"/>
      <c r="DU460" s="104" t="str">
        <f t="shared" si="24"/>
        <v/>
      </c>
      <c r="DV460" s="104" t="str">
        <f>ABA!$A460</f>
        <v/>
      </c>
      <c r="DW460" s="98" t="str">
        <f t="shared" si="25"/>
        <v/>
      </c>
    </row>
    <row r="461" ht="15.75" customHeight="1">
      <c r="A461" s="78"/>
      <c r="B461" s="105"/>
      <c r="C461" s="82"/>
      <c r="D461" s="82"/>
      <c r="E461" s="83"/>
      <c r="F461" s="82"/>
      <c r="G461" s="82"/>
      <c r="H461" s="82"/>
      <c r="I461" s="83"/>
      <c r="J461" s="82"/>
      <c r="K461" s="82"/>
      <c r="L461" s="82"/>
      <c r="M461" s="83"/>
      <c r="N461" s="82"/>
      <c r="O461" s="82"/>
      <c r="P461" s="82"/>
      <c r="Q461" s="83"/>
      <c r="R461" s="82"/>
      <c r="S461" s="82"/>
      <c r="T461" s="82"/>
      <c r="U461" s="83"/>
      <c r="V461" s="82"/>
      <c r="W461" s="82"/>
      <c r="X461" s="82"/>
      <c r="Y461" s="83"/>
      <c r="Z461" s="82"/>
      <c r="AA461" s="82"/>
      <c r="AB461" s="82"/>
      <c r="AC461" s="83"/>
      <c r="AD461" s="82"/>
      <c r="AE461" s="82"/>
      <c r="AF461" s="82"/>
      <c r="AG461" s="83"/>
      <c r="AH461" s="82"/>
      <c r="AI461" s="82"/>
      <c r="AJ461" s="82"/>
      <c r="AK461" s="83"/>
      <c r="AL461" s="82"/>
      <c r="AM461" s="82"/>
      <c r="AN461" s="82"/>
      <c r="AO461" s="82"/>
      <c r="AP461" s="84" t="str">
        <f t="shared" si="2"/>
        <v/>
      </c>
      <c r="AQ461" s="9"/>
      <c r="AR461" s="9"/>
      <c r="AS461" s="8"/>
      <c r="AT461" s="9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8"/>
      <c r="BX461" s="9"/>
      <c r="BY461" s="9"/>
      <c r="BZ461" s="9"/>
      <c r="CA461" s="33"/>
      <c r="CB461" s="85" t="str">
        <f t="shared" si="3"/>
        <v/>
      </c>
      <c r="CC461" s="86" t="str">
        <f t="shared" si="4"/>
        <v/>
      </c>
      <c r="CD461" s="86" t="str">
        <f t="shared" si="5"/>
        <v/>
      </c>
      <c r="CE461" s="86" t="str">
        <f t="shared" si="6"/>
        <v/>
      </c>
      <c r="CF461" s="86" t="str">
        <f t="shared" si="7"/>
        <v/>
      </c>
      <c r="CG461" s="86" t="str">
        <f t="shared" si="8"/>
        <v/>
      </c>
      <c r="CH461" s="86" t="str">
        <f t="shared" si="9"/>
        <v/>
      </c>
      <c r="CI461" s="86" t="str">
        <f t="shared" si="10"/>
        <v/>
      </c>
      <c r="CJ461" s="86" t="str">
        <f t="shared" si="11"/>
        <v/>
      </c>
      <c r="CK461" s="86" t="str">
        <f t="shared" si="12"/>
        <v/>
      </c>
      <c r="CL461" s="86" t="str">
        <f t="shared" si="13"/>
        <v/>
      </c>
      <c r="CM461" s="87" t="str">
        <f t="shared" si="14"/>
        <v/>
      </c>
      <c r="CN461" s="88" t="str">
        <f t="shared" si="26"/>
        <v/>
      </c>
      <c r="CO461" s="88" t="str">
        <f t="shared" si="15"/>
        <v/>
      </c>
      <c r="CP461" s="88" t="str">
        <f t="shared" si="16"/>
        <v/>
      </c>
      <c r="CQ461" s="88" t="str">
        <f t="shared" si="17"/>
        <v/>
      </c>
      <c r="CR461" s="88" t="str">
        <f t="shared" si="18"/>
        <v/>
      </c>
      <c r="CS461" s="88" t="str">
        <f t="shared" si="19"/>
        <v/>
      </c>
      <c r="CT461" s="88" t="str">
        <f t="shared" si="20"/>
        <v/>
      </c>
      <c r="CU461" s="88" t="str">
        <f t="shared" si="21"/>
        <v/>
      </c>
      <c r="CV461" s="88" t="str">
        <f t="shared" si="22"/>
        <v/>
      </c>
      <c r="CW461" s="88" t="str">
        <f t="shared" si="23"/>
        <v/>
      </c>
      <c r="CX461" s="7"/>
      <c r="CY461" s="7"/>
      <c r="CZ461" s="7"/>
      <c r="DA461" s="8"/>
      <c r="DU461" s="93" t="str">
        <f t="shared" si="24"/>
        <v/>
      </c>
      <c r="DV461" s="93" t="str">
        <f>ABA!$A461</f>
        <v/>
      </c>
      <c r="DW461" s="82" t="str">
        <f t="shared" si="25"/>
        <v/>
      </c>
    </row>
    <row r="462" ht="15.75" customHeight="1">
      <c r="A462" s="85"/>
      <c r="B462" s="107"/>
      <c r="C462" s="98"/>
      <c r="D462" s="98"/>
      <c r="E462" s="99"/>
      <c r="F462" s="98"/>
      <c r="G462" s="98"/>
      <c r="H462" s="98"/>
      <c r="I462" s="99"/>
      <c r="J462" s="98"/>
      <c r="K462" s="98"/>
      <c r="L462" s="98"/>
      <c r="M462" s="99"/>
      <c r="N462" s="98"/>
      <c r="O462" s="98"/>
      <c r="P462" s="98"/>
      <c r="Q462" s="99"/>
      <c r="R462" s="98"/>
      <c r="S462" s="98"/>
      <c r="T462" s="98"/>
      <c r="U462" s="99"/>
      <c r="V462" s="98"/>
      <c r="W462" s="98"/>
      <c r="X462" s="98"/>
      <c r="Y462" s="100"/>
      <c r="Z462" s="98"/>
      <c r="AA462" s="98"/>
      <c r="AB462" s="98"/>
      <c r="AC462" s="99"/>
      <c r="AD462" s="98"/>
      <c r="AE462" s="98"/>
      <c r="AF462" s="98"/>
      <c r="AG462" s="99"/>
      <c r="AH462" s="98"/>
      <c r="AI462" s="98"/>
      <c r="AJ462" s="98"/>
      <c r="AK462" s="99"/>
      <c r="AL462" s="98"/>
      <c r="AM462" s="98"/>
      <c r="AN462" s="98"/>
      <c r="AO462" s="98"/>
      <c r="AP462" s="84" t="str">
        <f t="shared" si="2"/>
        <v/>
      </c>
      <c r="AQ462" s="9"/>
      <c r="AR462" s="9"/>
      <c r="AS462" s="8"/>
      <c r="AT462" s="9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8"/>
      <c r="BX462" s="9"/>
      <c r="BY462" s="9"/>
      <c r="BZ462" s="9"/>
      <c r="CA462" s="33"/>
      <c r="CB462" s="85" t="str">
        <f t="shared" si="3"/>
        <v/>
      </c>
      <c r="CC462" s="86" t="str">
        <f t="shared" si="4"/>
        <v/>
      </c>
      <c r="CD462" s="86" t="str">
        <f t="shared" si="5"/>
        <v/>
      </c>
      <c r="CE462" s="86" t="str">
        <f t="shared" si="6"/>
        <v/>
      </c>
      <c r="CF462" s="86" t="str">
        <f t="shared" si="7"/>
        <v/>
      </c>
      <c r="CG462" s="86" t="str">
        <f t="shared" si="8"/>
        <v/>
      </c>
      <c r="CH462" s="86" t="str">
        <f t="shared" si="9"/>
        <v/>
      </c>
      <c r="CI462" s="86" t="str">
        <f t="shared" si="10"/>
        <v/>
      </c>
      <c r="CJ462" s="86" t="str">
        <f t="shared" si="11"/>
        <v/>
      </c>
      <c r="CK462" s="86" t="str">
        <f t="shared" si="12"/>
        <v/>
      </c>
      <c r="CL462" s="86" t="str">
        <f t="shared" si="13"/>
        <v/>
      </c>
      <c r="CM462" s="87" t="str">
        <f t="shared" si="14"/>
        <v/>
      </c>
      <c r="CN462" s="88" t="str">
        <f t="shared" si="26"/>
        <v/>
      </c>
      <c r="CO462" s="88" t="str">
        <f t="shared" si="15"/>
        <v/>
      </c>
      <c r="CP462" s="88" t="str">
        <f t="shared" si="16"/>
        <v/>
      </c>
      <c r="CQ462" s="88" t="str">
        <f t="shared" si="17"/>
        <v/>
      </c>
      <c r="CR462" s="88" t="str">
        <f t="shared" si="18"/>
        <v/>
      </c>
      <c r="CS462" s="88" t="str">
        <f t="shared" si="19"/>
        <v/>
      </c>
      <c r="CT462" s="88" t="str">
        <f t="shared" si="20"/>
        <v/>
      </c>
      <c r="CU462" s="88" t="str">
        <f t="shared" si="21"/>
        <v/>
      </c>
      <c r="CV462" s="88" t="str">
        <f t="shared" si="22"/>
        <v/>
      </c>
      <c r="CW462" s="88" t="str">
        <f t="shared" si="23"/>
        <v/>
      </c>
      <c r="CX462" s="7"/>
      <c r="CY462" s="7"/>
      <c r="CZ462" s="7"/>
      <c r="DA462" s="8"/>
      <c r="DU462" s="104" t="str">
        <f t="shared" si="24"/>
        <v/>
      </c>
      <c r="DV462" s="104" t="str">
        <f>ABA!$A462</f>
        <v/>
      </c>
      <c r="DW462" s="98" t="str">
        <f t="shared" si="25"/>
        <v/>
      </c>
    </row>
    <row r="463" ht="15.75" customHeight="1">
      <c r="A463" s="78"/>
      <c r="B463" s="105"/>
      <c r="C463" s="82"/>
      <c r="D463" s="82"/>
      <c r="E463" s="83"/>
      <c r="F463" s="82"/>
      <c r="G463" s="82"/>
      <c r="H463" s="82"/>
      <c r="I463" s="83"/>
      <c r="J463" s="82"/>
      <c r="K463" s="82"/>
      <c r="L463" s="82"/>
      <c r="M463" s="83"/>
      <c r="N463" s="82"/>
      <c r="O463" s="82"/>
      <c r="P463" s="82"/>
      <c r="Q463" s="83"/>
      <c r="R463" s="82"/>
      <c r="S463" s="82"/>
      <c r="T463" s="82"/>
      <c r="U463" s="83"/>
      <c r="V463" s="82"/>
      <c r="W463" s="82"/>
      <c r="X463" s="82"/>
      <c r="Y463" s="83"/>
      <c r="Z463" s="82"/>
      <c r="AA463" s="82"/>
      <c r="AB463" s="82"/>
      <c r="AC463" s="83"/>
      <c r="AD463" s="82"/>
      <c r="AE463" s="82"/>
      <c r="AF463" s="82"/>
      <c r="AG463" s="83"/>
      <c r="AH463" s="82"/>
      <c r="AI463" s="82"/>
      <c r="AJ463" s="82"/>
      <c r="AK463" s="83"/>
      <c r="AL463" s="82"/>
      <c r="AM463" s="82"/>
      <c r="AN463" s="82"/>
      <c r="AO463" s="82"/>
      <c r="AP463" s="84" t="str">
        <f t="shared" si="2"/>
        <v/>
      </c>
      <c r="AQ463" s="9"/>
      <c r="AR463" s="9"/>
      <c r="AS463" s="8"/>
      <c r="AT463" s="9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8"/>
      <c r="BX463" s="9"/>
      <c r="BY463" s="9"/>
      <c r="BZ463" s="9"/>
      <c r="CA463" s="33"/>
      <c r="CB463" s="85" t="str">
        <f t="shared" si="3"/>
        <v/>
      </c>
      <c r="CC463" s="86" t="str">
        <f t="shared" si="4"/>
        <v/>
      </c>
      <c r="CD463" s="86" t="str">
        <f t="shared" si="5"/>
        <v/>
      </c>
      <c r="CE463" s="86" t="str">
        <f t="shared" si="6"/>
        <v/>
      </c>
      <c r="CF463" s="86" t="str">
        <f t="shared" si="7"/>
        <v/>
      </c>
      <c r="CG463" s="86" t="str">
        <f t="shared" si="8"/>
        <v/>
      </c>
      <c r="CH463" s="86" t="str">
        <f t="shared" si="9"/>
        <v/>
      </c>
      <c r="CI463" s="86" t="str">
        <f t="shared" si="10"/>
        <v/>
      </c>
      <c r="CJ463" s="86" t="str">
        <f t="shared" si="11"/>
        <v/>
      </c>
      <c r="CK463" s="86" t="str">
        <f t="shared" si="12"/>
        <v/>
      </c>
      <c r="CL463" s="86" t="str">
        <f t="shared" si="13"/>
        <v/>
      </c>
      <c r="CM463" s="87" t="str">
        <f t="shared" si="14"/>
        <v/>
      </c>
      <c r="CN463" s="88" t="str">
        <f t="shared" si="26"/>
        <v/>
      </c>
      <c r="CO463" s="88" t="str">
        <f t="shared" si="15"/>
        <v/>
      </c>
      <c r="CP463" s="88" t="str">
        <f t="shared" si="16"/>
        <v/>
      </c>
      <c r="CQ463" s="88" t="str">
        <f t="shared" si="17"/>
        <v/>
      </c>
      <c r="CR463" s="88" t="str">
        <f t="shared" si="18"/>
        <v/>
      </c>
      <c r="CS463" s="88" t="str">
        <f t="shared" si="19"/>
        <v/>
      </c>
      <c r="CT463" s="88" t="str">
        <f t="shared" si="20"/>
        <v/>
      </c>
      <c r="CU463" s="88" t="str">
        <f t="shared" si="21"/>
        <v/>
      </c>
      <c r="CV463" s="88" t="str">
        <f t="shared" si="22"/>
        <v/>
      </c>
      <c r="CW463" s="88" t="str">
        <f t="shared" si="23"/>
        <v/>
      </c>
      <c r="CX463" s="7"/>
      <c r="CY463" s="7"/>
      <c r="CZ463" s="7"/>
      <c r="DA463" s="8"/>
      <c r="DU463" s="93" t="str">
        <f t="shared" si="24"/>
        <v/>
      </c>
      <c r="DV463" s="93" t="str">
        <f>ABA!$A463</f>
        <v/>
      </c>
      <c r="DW463" s="82" t="str">
        <f t="shared" si="25"/>
        <v/>
      </c>
    </row>
    <row r="464" ht="15.75" customHeight="1">
      <c r="A464" s="85"/>
      <c r="B464" s="107"/>
      <c r="C464" s="98"/>
      <c r="D464" s="98"/>
      <c r="E464" s="99"/>
      <c r="F464" s="98"/>
      <c r="G464" s="98"/>
      <c r="H464" s="98"/>
      <c r="I464" s="99"/>
      <c r="J464" s="98"/>
      <c r="K464" s="98"/>
      <c r="L464" s="98"/>
      <c r="M464" s="99"/>
      <c r="N464" s="98"/>
      <c r="O464" s="98"/>
      <c r="P464" s="98"/>
      <c r="Q464" s="99"/>
      <c r="R464" s="98"/>
      <c r="S464" s="98"/>
      <c r="T464" s="98"/>
      <c r="U464" s="99"/>
      <c r="V464" s="98"/>
      <c r="W464" s="98"/>
      <c r="X464" s="98"/>
      <c r="Y464" s="100"/>
      <c r="Z464" s="98"/>
      <c r="AA464" s="98"/>
      <c r="AB464" s="98"/>
      <c r="AC464" s="99"/>
      <c r="AD464" s="98"/>
      <c r="AE464" s="98"/>
      <c r="AF464" s="98"/>
      <c r="AG464" s="99"/>
      <c r="AH464" s="98"/>
      <c r="AI464" s="98"/>
      <c r="AJ464" s="98"/>
      <c r="AK464" s="99"/>
      <c r="AL464" s="98"/>
      <c r="AM464" s="98"/>
      <c r="AN464" s="98"/>
      <c r="AO464" s="98"/>
      <c r="AP464" s="84" t="str">
        <f t="shared" si="2"/>
        <v/>
      </c>
      <c r="AQ464" s="9"/>
      <c r="AR464" s="9"/>
      <c r="AS464" s="8"/>
      <c r="AT464" s="9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8"/>
      <c r="BX464" s="9"/>
      <c r="BY464" s="9"/>
      <c r="BZ464" s="9"/>
      <c r="CA464" s="33"/>
      <c r="CB464" s="85" t="str">
        <f t="shared" si="3"/>
        <v/>
      </c>
      <c r="CC464" s="86" t="str">
        <f t="shared" si="4"/>
        <v/>
      </c>
      <c r="CD464" s="86" t="str">
        <f t="shared" si="5"/>
        <v/>
      </c>
      <c r="CE464" s="86" t="str">
        <f t="shared" si="6"/>
        <v/>
      </c>
      <c r="CF464" s="86" t="str">
        <f t="shared" si="7"/>
        <v/>
      </c>
      <c r="CG464" s="86" t="str">
        <f t="shared" si="8"/>
        <v/>
      </c>
      <c r="CH464" s="86" t="str">
        <f t="shared" si="9"/>
        <v/>
      </c>
      <c r="CI464" s="86" t="str">
        <f t="shared" si="10"/>
        <v/>
      </c>
      <c r="CJ464" s="86" t="str">
        <f t="shared" si="11"/>
        <v/>
      </c>
      <c r="CK464" s="86" t="str">
        <f t="shared" si="12"/>
        <v/>
      </c>
      <c r="CL464" s="86" t="str">
        <f t="shared" si="13"/>
        <v/>
      </c>
      <c r="CM464" s="87" t="str">
        <f t="shared" si="14"/>
        <v/>
      </c>
      <c r="CN464" s="88" t="str">
        <f t="shared" si="26"/>
        <v/>
      </c>
      <c r="CO464" s="88" t="str">
        <f t="shared" si="15"/>
        <v/>
      </c>
      <c r="CP464" s="88" t="str">
        <f t="shared" si="16"/>
        <v/>
      </c>
      <c r="CQ464" s="88" t="str">
        <f t="shared" si="17"/>
        <v/>
      </c>
      <c r="CR464" s="88" t="str">
        <f t="shared" si="18"/>
        <v/>
      </c>
      <c r="CS464" s="88" t="str">
        <f t="shared" si="19"/>
        <v/>
      </c>
      <c r="CT464" s="88" t="str">
        <f t="shared" si="20"/>
        <v/>
      </c>
      <c r="CU464" s="88" t="str">
        <f t="shared" si="21"/>
        <v/>
      </c>
      <c r="CV464" s="88" t="str">
        <f t="shared" si="22"/>
        <v/>
      </c>
      <c r="CW464" s="88" t="str">
        <f t="shared" si="23"/>
        <v/>
      </c>
      <c r="CX464" s="7"/>
      <c r="CY464" s="7"/>
      <c r="CZ464" s="7"/>
      <c r="DA464" s="8"/>
      <c r="DU464" s="104" t="str">
        <f t="shared" si="24"/>
        <v/>
      </c>
      <c r="DV464" s="104" t="str">
        <f>ABA!$A464</f>
        <v/>
      </c>
      <c r="DW464" s="98" t="str">
        <f t="shared" si="25"/>
        <v/>
      </c>
    </row>
    <row r="465" ht="15.75" customHeight="1">
      <c r="A465" s="78"/>
      <c r="B465" s="105"/>
      <c r="C465" s="82"/>
      <c r="D465" s="82"/>
      <c r="E465" s="83"/>
      <c r="F465" s="82"/>
      <c r="G465" s="82"/>
      <c r="H465" s="82"/>
      <c r="I465" s="83"/>
      <c r="J465" s="82"/>
      <c r="K465" s="82"/>
      <c r="L465" s="82"/>
      <c r="M465" s="83"/>
      <c r="N465" s="82"/>
      <c r="O465" s="82"/>
      <c r="P465" s="82"/>
      <c r="Q465" s="83"/>
      <c r="R465" s="82"/>
      <c r="S465" s="82"/>
      <c r="T465" s="82"/>
      <c r="U465" s="83"/>
      <c r="V465" s="82"/>
      <c r="W465" s="82"/>
      <c r="X465" s="82"/>
      <c r="Y465" s="83"/>
      <c r="Z465" s="82"/>
      <c r="AA465" s="82"/>
      <c r="AB465" s="82"/>
      <c r="AC465" s="83"/>
      <c r="AD465" s="82"/>
      <c r="AE465" s="82"/>
      <c r="AF465" s="82"/>
      <c r="AG465" s="83"/>
      <c r="AH465" s="82"/>
      <c r="AI465" s="82"/>
      <c r="AJ465" s="82"/>
      <c r="AK465" s="83"/>
      <c r="AL465" s="82"/>
      <c r="AM465" s="82"/>
      <c r="AN465" s="82"/>
      <c r="AO465" s="82"/>
      <c r="AP465" s="84" t="str">
        <f t="shared" si="2"/>
        <v/>
      </c>
      <c r="AQ465" s="9"/>
      <c r="AR465" s="9"/>
      <c r="AS465" s="8"/>
      <c r="AT465" s="9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8"/>
      <c r="BX465" s="9"/>
      <c r="BY465" s="9"/>
      <c r="BZ465" s="9"/>
      <c r="CA465" s="33"/>
      <c r="CB465" s="85" t="str">
        <f t="shared" si="3"/>
        <v/>
      </c>
      <c r="CC465" s="86" t="str">
        <f t="shared" si="4"/>
        <v/>
      </c>
      <c r="CD465" s="86" t="str">
        <f t="shared" si="5"/>
        <v/>
      </c>
      <c r="CE465" s="86" t="str">
        <f t="shared" si="6"/>
        <v/>
      </c>
      <c r="CF465" s="86" t="str">
        <f t="shared" si="7"/>
        <v/>
      </c>
      <c r="CG465" s="86" t="str">
        <f t="shared" si="8"/>
        <v/>
      </c>
      <c r="CH465" s="86" t="str">
        <f t="shared" si="9"/>
        <v/>
      </c>
      <c r="CI465" s="86" t="str">
        <f t="shared" si="10"/>
        <v/>
      </c>
      <c r="CJ465" s="86" t="str">
        <f t="shared" si="11"/>
        <v/>
      </c>
      <c r="CK465" s="86" t="str">
        <f t="shared" si="12"/>
        <v/>
      </c>
      <c r="CL465" s="86" t="str">
        <f t="shared" si="13"/>
        <v/>
      </c>
      <c r="CM465" s="87" t="str">
        <f t="shared" si="14"/>
        <v/>
      </c>
      <c r="CN465" s="88" t="str">
        <f t="shared" si="26"/>
        <v/>
      </c>
      <c r="CO465" s="88" t="str">
        <f t="shared" si="15"/>
        <v/>
      </c>
      <c r="CP465" s="88" t="str">
        <f t="shared" si="16"/>
        <v/>
      </c>
      <c r="CQ465" s="88" t="str">
        <f t="shared" si="17"/>
        <v/>
      </c>
      <c r="CR465" s="88" t="str">
        <f t="shared" si="18"/>
        <v/>
      </c>
      <c r="CS465" s="88" t="str">
        <f t="shared" si="19"/>
        <v/>
      </c>
      <c r="CT465" s="88" t="str">
        <f t="shared" si="20"/>
        <v/>
      </c>
      <c r="CU465" s="88" t="str">
        <f t="shared" si="21"/>
        <v/>
      </c>
      <c r="CV465" s="88" t="str">
        <f t="shared" si="22"/>
        <v/>
      </c>
      <c r="CW465" s="88" t="str">
        <f t="shared" si="23"/>
        <v/>
      </c>
      <c r="CX465" s="7"/>
      <c r="CY465" s="7"/>
      <c r="CZ465" s="7"/>
      <c r="DA465" s="8"/>
      <c r="DU465" s="93" t="str">
        <f t="shared" si="24"/>
        <v/>
      </c>
      <c r="DV465" s="93" t="str">
        <f>ABA!$A465</f>
        <v/>
      </c>
      <c r="DW465" s="82" t="str">
        <f t="shared" si="25"/>
        <v/>
      </c>
    </row>
    <row r="466" ht="15.75" customHeight="1">
      <c r="A466" s="85"/>
      <c r="B466" s="107"/>
      <c r="C466" s="98"/>
      <c r="D466" s="98"/>
      <c r="E466" s="99"/>
      <c r="F466" s="98"/>
      <c r="G466" s="98"/>
      <c r="H466" s="98"/>
      <c r="I466" s="99"/>
      <c r="J466" s="98"/>
      <c r="K466" s="98"/>
      <c r="L466" s="98"/>
      <c r="M466" s="99"/>
      <c r="N466" s="98"/>
      <c r="O466" s="98"/>
      <c r="P466" s="98"/>
      <c r="Q466" s="99"/>
      <c r="R466" s="98"/>
      <c r="S466" s="98"/>
      <c r="T466" s="98"/>
      <c r="U466" s="99"/>
      <c r="V466" s="98"/>
      <c r="W466" s="98"/>
      <c r="X466" s="98"/>
      <c r="Y466" s="100"/>
      <c r="Z466" s="98"/>
      <c r="AA466" s="98"/>
      <c r="AB466" s="98"/>
      <c r="AC466" s="99"/>
      <c r="AD466" s="98"/>
      <c r="AE466" s="98"/>
      <c r="AF466" s="98"/>
      <c r="AG466" s="99"/>
      <c r="AH466" s="98"/>
      <c r="AI466" s="98"/>
      <c r="AJ466" s="98"/>
      <c r="AK466" s="99"/>
      <c r="AL466" s="98"/>
      <c r="AM466" s="98"/>
      <c r="AN466" s="98"/>
      <c r="AO466" s="98"/>
      <c r="AP466" s="84" t="str">
        <f t="shared" si="2"/>
        <v/>
      </c>
      <c r="AQ466" s="9"/>
      <c r="AR466" s="9"/>
      <c r="AS466" s="8"/>
      <c r="AT466" s="9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8"/>
      <c r="BX466" s="9"/>
      <c r="BY466" s="9"/>
      <c r="BZ466" s="9"/>
      <c r="CA466" s="33"/>
      <c r="CB466" s="85" t="str">
        <f t="shared" si="3"/>
        <v/>
      </c>
      <c r="CC466" s="86" t="str">
        <f t="shared" si="4"/>
        <v/>
      </c>
      <c r="CD466" s="86" t="str">
        <f t="shared" si="5"/>
        <v/>
      </c>
      <c r="CE466" s="86" t="str">
        <f t="shared" si="6"/>
        <v/>
      </c>
      <c r="CF466" s="86" t="str">
        <f t="shared" si="7"/>
        <v/>
      </c>
      <c r="CG466" s="86" t="str">
        <f t="shared" si="8"/>
        <v/>
      </c>
      <c r="CH466" s="86" t="str">
        <f t="shared" si="9"/>
        <v/>
      </c>
      <c r="CI466" s="86" t="str">
        <f t="shared" si="10"/>
        <v/>
      </c>
      <c r="CJ466" s="86" t="str">
        <f t="shared" si="11"/>
        <v/>
      </c>
      <c r="CK466" s="86" t="str">
        <f t="shared" si="12"/>
        <v/>
      </c>
      <c r="CL466" s="86" t="str">
        <f t="shared" si="13"/>
        <v/>
      </c>
      <c r="CM466" s="87" t="str">
        <f t="shared" si="14"/>
        <v/>
      </c>
      <c r="CN466" s="88" t="str">
        <f t="shared" si="26"/>
        <v/>
      </c>
      <c r="CO466" s="88" t="str">
        <f t="shared" si="15"/>
        <v/>
      </c>
      <c r="CP466" s="88" t="str">
        <f t="shared" si="16"/>
        <v/>
      </c>
      <c r="CQ466" s="88" t="str">
        <f t="shared" si="17"/>
        <v/>
      </c>
      <c r="CR466" s="88" t="str">
        <f t="shared" si="18"/>
        <v/>
      </c>
      <c r="CS466" s="88" t="str">
        <f t="shared" si="19"/>
        <v/>
      </c>
      <c r="CT466" s="88" t="str">
        <f t="shared" si="20"/>
        <v/>
      </c>
      <c r="CU466" s="88" t="str">
        <f t="shared" si="21"/>
        <v/>
      </c>
      <c r="CV466" s="88" t="str">
        <f t="shared" si="22"/>
        <v/>
      </c>
      <c r="CW466" s="88" t="str">
        <f t="shared" si="23"/>
        <v/>
      </c>
      <c r="CX466" s="7"/>
      <c r="CY466" s="7"/>
      <c r="CZ466" s="7"/>
      <c r="DA466" s="8"/>
      <c r="DU466" s="104" t="str">
        <f t="shared" si="24"/>
        <v/>
      </c>
      <c r="DV466" s="104" t="str">
        <f>ABA!$A466</f>
        <v/>
      </c>
      <c r="DW466" s="98" t="str">
        <f t="shared" si="25"/>
        <v/>
      </c>
    </row>
    <row r="467" ht="15.75" customHeight="1">
      <c r="A467" s="78"/>
      <c r="B467" s="105"/>
      <c r="C467" s="82"/>
      <c r="D467" s="82"/>
      <c r="E467" s="83"/>
      <c r="F467" s="82"/>
      <c r="G467" s="82"/>
      <c r="H467" s="82"/>
      <c r="I467" s="83"/>
      <c r="J467" s="82"/>
      <c r="K467" s="82"/>
      <c r="L467" s="82"/>
      <c r="M467" s="83"/>
      <c r="N467" s="82"/>
      <c r="O467" s="82"/>
      <c r="P467" s="82"/>
      <c r="Q467" s="83"/>
      <c r="R467" s="82"/>
      <c r="S467" s="82"/>
      <c r="T467" s="82"/>
      <c r="U467" s="83"/>
      <c r="V467" s="82"/>
      <c r="W467" s="82"/>
      <c r="X467" s="82"/>
      <c r="Y467" s="83"/>
      <c r="Z467" s="82"/>
      <c r="AA467" s="82"/>
      <c r="AB467" s="82"/>
      <c r="AC467" s="83"/>
      <c r="AD467" s="82"/>
      <c r="AE467" s="82"/>
      <c r="AF467" s="82"/>
      <c r="AG467" s="83"/>
      <c r="AH467" s="82"/>
      <c r="AI467" s="82"/>
      <c r="AJ467" s="82"/>
      <c r="AK467" s="83"/>
      <c r="AL467" s="82"/>
      <c r="AM467" s="82"/>
      <c r="AN467" s="82"/>
      <c r="AO467" s="82"/>
      <c r="AP467" s="84" t="str">
        <f t="shared" si="2"/>
        <v/>
      </c>
      <c r="AQ467" s="9"/>
      <c r="AR467" s="9"/>
      <c r="AS467" s="8"/>
      <c r="AT467" s="9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8"/>
      <c r="BX467" s="9"/>
      <c r="BY467" s="9"/>
      <c r="BZ467" s="9"/>
      <c r="CA467" s="33"/>
      <c r="CB467" s="85" t="str">
        <f t="shared" si="3"/>
        <v/>
      </c>
      <c r="CC467" s="86" t="str">
        <f t="shared" si="4"/>
        <v/>
      </c>
      <c r="CD467" s="86" t="str">
        <f t="shared" si="5"/>
        <v/>
      </c>
      <c r="CE467" s="86" t="str">
        <f t="shared" si="6"/>
        <v/>
      </c>
      <c r="CF467" s="86" t="str">
        <f t="shared" si="7"/>
        <v/>
      </c>
      <c r="CG467" s="86" t="str">
        <f t="shared" si="8"/>
        <v/>
      </c>
      <c r="CH467" s="86" t="str">
        <f t="shared" si="9"/>
        <v/>
      </c>
      <c r="CI467" s="86" t="str">
        <f t="shared" si="10"/>
        <v/>
      </c>
      <c r="CJ467" s="86" t="str">
        <f t="shared" si="11"/>
        <v/>
      </c>
      <c r="CK467" s="86" t="str">
        <f t="shared" si="12"/>
        <v/>
      </c>
      <c r="CL467" s="86" t="str">
        <f t="shared" si="13"/>
        <v/>
      </c>
      <c r="CM467" s="87" t="str">
        <f t="shared" si="14"/>
        <v/>
      </c>
      <c r="CN467" s="88" t="str">
        <f t="shared" si="26"/>
        <v/>
      </c>
      <c r="CO467" s="88" t="str">
        <f t="shared" si="15"/>
        <v/>
      </c>
      <c r="CP467" s="88" t="str">
        <f t="shared" si="16"/>
        <v/>
      </c>
      <c r="CQ467" s="88" t="str">
        <f t="shared" si="17"/>
        <v/>
      </c>
      <c r="CR467" s="88" t="str">
        <f t="shared" si="18"/>
        <v/>
      </c>
      <c r="CS467" s="88" t="str">
        <f t="shared" si="19"/>
        <v/>
      </c>
      <c r="CT467" s="88" t="str">
        <f t="shared" si="20"/>
        <v/>
      </c>
      <c r="CU467" s="88" t="str">
        <f t="shared" si="21"/>
        <v/>
      </c>
      <c r="CV467" s="88" t="str">
        <f t="shared" si="22"/>
        <v/>
      </c>
      <c r="CW467" s="88" t="str">
        <f t="shared" si="23"/>
        <v/>
      </c>
      <c r="CX467" s="7"/>
      <c r="CY467" s="7"/>
      <c r="CZ467" s="7"/>
      <c r="DA467" s="8"/>
      <c r="DU467" s="93" t="str">
        <f t="shared" si="24"/>
        <v/>
      </c>
      <c r="DV467" s="93" t="str">
        <f>ABA!$A467</f>
        <v/>
      </c>
      <c r="DW467" s="82" t="str">
        <f t="shared" si="25"/>
        <v/>
      </c>
    </row>
    <row r="468" ht="15.75" customHeight="1">
      <c r="A468" s="85"/>
      <c r="B468" s="107"/>
      <c r="C468" s="98"/>
      <c r="D468" s="98"/>
      <c r="E468" s="99"/>
      <c r="F468" s="98"/>
      <c r="G468" s="98"/>
      <c r="H468" s="98"/>
      <c r="I468" s="99"/>
      <c r="J468" s="98"/>
      <c r="K468" s="98"/>
      <c r="L468" s="98"/>
      <c r="M468" s="99"/>
      <c r="N468" s="98"/>
      <c r="O468" s="98"/>
      <c r="P468" s="98"/>
      <c r="Q468" s="99"/>
      <c r="R468" s="98"/>
      <c r="S468" s="98"/>
      <c r="T468" s="98"/>
      <c r="U468" s="99"/>
      <c r="V468" s="98"/>
      <c r="W468" s="98"/>
      <c r="X468" s="98"/>
      <c r="Y468" s="100"/>
      <c r="Z468" s="98"/>
      <c r="AA468" s="98"/>
      <c r="AB468" s="98"/>
      <c r="AC468" s="99"/>
      <c r="AD468" s="98"/>
      <c r="AE468" s="98"/>
      <c r="AF468" s="98"/>
      <c r="AG468" s="99"/>
      <c r="AH468" s="98"/>
      <c r="AI468" s="98"/>
      <c r="AJ468" s="98"/>
      <c r="AK468" s="99"/>
      <c r="AL468" s="98"/>
      <c r="AM468" s="98"/>
      <c r="AN468" s="98"/>
      <c r="AO468" s="98"/>
      <c r="AP468" s="84" t="str">
        <f t="shared" si="2"/>
        <v/>
      </c>
      <c r="AQ468" s="9"/>
      <c r="AR468" s="9"/>
      <c r="AS468" s="8"/>
      <c r="AT468" s="9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8"/>
      <c r="BX468" s="9"/>
      <c r="BY468" s="9"/>
      <c r="BZ468" s="9"/>
      <c r="CA468" s="33"/>
      <c r="CB468" s="85" t="str">
        <f t="shared" si="3"/>
        <v/>
      </c>
      <c r="CC468" s="86" t="str">
        <f t="shared" si="4"/>
        <v/>
      </c>
      <c r="CD468" s="86" t="str">
        <f t="shared" si="5"/>
        <v/>
      </c>
      <c r="CE468" s="86" t="str">
        <f t="shared" si="6"/>
        <v/>
      </c>
      <c r="CF468" s="86" t="str">
        <f t="shared" si="7"/>
        <v/>
      </c>
      <c r="CG468" s="86" t="str">
        <f t="shared" si="8"/>
        <v/>
      </c>
      <c r="CH468" s="86" t="str">
        <f t="shared" si="9"/>
        <v/>
      </c>
      <c r="CI468" s="86" t="str">
        <f t="shared" si="10"/>
        <v/>
      </c>
      <c r="CJ468" s="86" t="str">
        <f t="shared" si="11"/>
        <v/>
      </c>
      <c r="CK468" s="86" t="str">
        <f t="shared" si="12"/>
        <v/>
      </c>
      <c r="CL468" s="86" t="str">
        <f t="shared" si="13"/>
        <v/>
      </c>
      <c r="CM468" s="87" t="str">
        <f t="shared" si="14"/>
        <v/>
      </c>
      <c r="CN468" s="88" t="str">
        <f t="shared" si="26"/>
        <v/>
      </c>
      <c r="CO468" s="88" t="str">
        <f t="shared" si="15"/>
        <v/>
      </c>
      <c r="CP468" s="88" t="str">
        <f t="shared" si="16"/>
        <v/>
      </c>
      <c r="CQ468" s="88" t="str">
        <f t="shared" si="17"/>
        <v/>
      </c>
      <c r="CR468" s="88" t="str">
        <f t="shared" si="18"/>
        <v/>
      </c>
      <c r="CS468" s="88" t="str">
        <f t="shared" si="19"/>
        <v/>
      </c>
      <c r="CT468" s="88" t="str">
        <f t="shared" si="20"/>
        <v/>
      </c>
      <c r="CU468" s="88" t="str">
        <f t="shared" si="21"/>
        <v/>
      </c>
      <c r="CV468" s="88" t="str">
        <f t="shared" si="22"/>
        <v/>
      </c>
      <c r="CW468" s="88" t="str">
        <f t="shared" si="23"/>
        <v/>
      </c>
      <c r="CX468" s="7"/>
      <c r="CY468" s="7"/>
      <c r="CZ468" s="7"/>
      <c r="DA468" s="8"/>
      <c r="DU468" s="104" t="str">
        <f t="shared" si="24"/>
        <v/>
      </c>
      <c r="DV468" s="104" t="str">
        <f>ABA!$A468</f>
        <v/>
      </c>
      <c r="DW468" s="98" t="str">
        <f t="shared" si="25"/>
        <v/>
      </c>
    </row>
    <row r="469" ht="15.75" customHeight="1">
      <c r="A469" s="78"/>
      <c r="B469" s="105"/>
      <c r="C469" s="82"/>
      <c r="D469" s="82"/>
      <c r="E469" s="83"/>
      <c r="F469" s="82"/>
      <c r="G469" s="82"/>
      <c r="H469" s="82"/>
      <c r="I469" s="83"/>
      <c r="J469" s="82"/>
      <c r="K469" s="82"/>
      <c r="L469" s="82"/>
      <c r="M469" s="83"/>
      <c r="N469" s="82"/>
      <c r="O469" s="82"/>
      <c r="P469" s="82"/>
      <c r="Q469" s="83"/>
      <c r="R469" s="82"/>
      <c r="S469" s="82"/>
      <c r="T469" s="82"/>
      <c r="U469" s="83"/>
      <c r="V469" s="82"/>
      <c r="W469" s="82"/>
      <c r="X469" s="82"/>
      <c r="Y469" s="83"/>
      <c r="Z469" s="82"/>
      <c r="AA469" s="82"/>
      <c r="AB469" s="82"/>
      <c r="AC469" s="83"/>
      <c r="AD469" s="82"/>
      <c r="AE469" s="82"/>
      <c r="AF469" s="82"/>
      <c r="AG469" s="83"/>
      <c r="AH469" s="82"/>
      <c r="AI469" s="82"/>
      <c r="AJ469" s="82"/>
      <c r="AK469" s="83"/>
      <c r="AL469" s="82"/>
      <c r="AM469" s="82"/>
      <c r="AN469" s="82"/>
      <c r="AO469" s="82"/>
      <c r="AP469" s="84" t="str">
        <f t="shared" si="2"/>
        <v/>
      </c>
      <c r="AQ469" s="9"/>
      <c r="AR469" s="9"/>
      <c r="AS469" s="8"/>
      <c r="AT469" s="9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8"/>
      <c r="BX469" s="9"/>
      <c r="BY469" s="9"/>
      <c r="BZ469" s="9"/>
      <c r="CA469" s="33"/>
      <c r="CB469" s="85" t="str">
        <f t="shared" si="3"/>
        <v/>
      </c>
      <c r="CC469" s="86" t="str">
        <f t="shared" si="4"/>
        <v/>
      </c>
      <c r="CD469" s="86" t="str">
        <f t="shared" si="5"/>
        <v/>
      </c>
      <c r="CE469" s="86" t="str">
        <f t="shared" si="6"/>
        <v/>
      </c>
      <c r="CF469" s="86" t="str">
        <f t="shared" si="7"/>
        <v/>
      </c>
      <c r="CG469" s="86" t="str">
        <f t="shared" si="8"/>
        <v/>
      </c>
      <c r="CH469" s="86" t="str">
        <f t="shared" si="9"/>
        <v/>
      </c>
      <c r="CI469" s="86" t="str">
        <f t="shared" si="10"/>
        <v/>
      </c>
      <c r="CJ469" s="86" t="str">
        <f t="shared" si="11"/>
        <v/>
      </c>
      <c r="CK469" s="86" t="str">
        <f t="shared" si="12"/>
        <v/>
      </c>
      <c r="CL469" s="86" t="str">
        <f t="shared" si="13"/>
        <v/>
      </c>
      <c r="CM469" s="87" t="str">
        <f t="shared" si="14"/>
        <v/>
      </c>
      <c r="CN469" s="88" t="str">
        <f t="shared" si="26"/>
        <v/>
      </c>
      <c r="CO469" s="88" t="str">
        <f t="shared" si="15"/>
        <v/>
      </c>
      <c r="CP469" s="88" t="str">
        <f t="shared" si="16"/>
        <v/>
      </c>
      <c r="CQ469" s="88" t="str">
        <f t="shared" si="17"/>
        <v/>
      </c>
      <c r="CR469" s="88" t="str">
        <f t="shared" si="18"/>
        <v/>
      </c>
      <c r="CS469" s="88" t="str">
        <f t="shared" si="19"/>
        <v/>
      </c>
      <c r="CT469" s="88" t="str">
        <f t="shared" si="20"/>
        <v/>
      </c>
      <c r="CU469" s="88" t="str">
        <f t="shared" si="21"/>
        <v/>
      </c>
      <c r="CV469" s="88" t="str">
        <f t="shared" si="22"/>
        <v/>
      </c>
      <c r="CW469" s="88" t="str">
        <f t="shared" si="23"/>
        <v/>
      </c>
      <c r="CX469" s="7"/>
      <c r="CY469" s="7"/>
      <c r="CZ469" s="7"/>
      <c r="DA469" s="8"/>
      <c r="DU469" s="93" t="str">
        <f t="shared" si="24"/>
        <v/>
      </c>
      <c r="DV469" s="93" t="str">
        <f>ABA!$A469</f>
        <v/>
      </c>
      <c r="DW469" s="82" t="str">
        <f t="shared" si="25"/>
        <v/>
      </c>
    </row>
    <row r="470" ht="15.75" customHeight="1">
      <c r="A470" s="85"/>
      <c r="B470" s="107"/>
      <c r="C470" s="98"/>
      <c r="D470" s="98"/>
      <c r="E470" s="99"/>
      <c r="F470" s="98"/>
      <c r="G470" s="98"/>
      <c r="H470" s="98"/>
      <c r="I470" s="99"/>
      <c r="J470" s="98"/>
      <c r="K470" s="98"/>
      <c r="L470" s="98"/>
      <c r="M470" s="99"/>
      <c r="N470" s="98"/>
      <c r="O470" s="98"/>
      <c r="P470" s="98"/>
      <c r="Q470" s="99"/>
      <c r="R470" s="98"/>
      <c r="S470" s="98"/>
      <c r="T470" s="98"/>
      <c r="U470" s="99"/>
      <c r="V470" s="98"/>
      <c r="W470" s="98"/>
      <c r="X470" s="98"/>
      <c r="Y470" s="100"/>
      <c r="Z470" s="98"/>
      <c r="AA470" s="98"/>
      <c r="AB470" s="98"/>
      <c r="AC470" s="99"/>
      <c r="AD470" s="98"/>
      <c r="AE470" s="98"/>
      <c r="AF470" s="98"/>
      <c r="AG470" s="99"/>
      <c r="AH470" s="98"/>
      <c r="AI470" s="98"/>
      <c r="AJ470" s="98"/>
      <c r="AK470" s="99"/>
      <c r="AL470" s="98"/>
      <c r="AM470" s="98"/>
      <c r="AN470" s="98"/>
      <c r="AO470" s="98"/>
      <c r="AP470" s="84" t="str">
        <f t="shared" si="2"/>
        <v/>
      </c>
      <c r="AQ470" s="9"/>
      <c r="AR470" s="9"/>
      <c r="AS470" s="8"/>
      <c r="AT470" s="9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8"/>
      <c r="BX470" s="9"/>
      <c r="BY470" s="9"/>
      <c r="BZ470" s="9"/>
      <c r="CA470" s="33"/>
      <c r="CB470" s="85" t="str">
        <f t="shared" si="3"/>
        <v/>
      </c>
      <c r="CC470" s="86" t="str">
        <f t="shared" si="4"/>
        <v/>
      </c>
      <c r="CD470" s="86" t="str">
        <f t="shared" si="5"/>
        <v/>
      </c>
      <c r="CE470" s="86" t="str">
        <f t="shared" si="6"/>
        <v/>
      </c>
      <c r="CF470" s="86" t="str">
        <f t="shared" si="7"/>
        <v/>
      </c>
      <c r="CG470" s="86" t="str">
        <f t="shared" si="8"/>
        <v/>
      </c>
      <c r="CH470" s="86" t="str">
        <f t="shared" si="9"/>
        <v/>
      </c>
      <c r="CI470" s="86" t="str">
        <f t="shared" si="10"/>
        <v/>
      </c>
      <c r="CJ470" s="86" t="str">
        <f t="shared" si="11"/>
        <v/>
      </c>
      <c r="CK470" s="86" t="str">
        <f t="shared" si="12"/>
        <v/>
      </c>
      <c r="CL470" s="86" t="str">
        <f t="shared" si="13"/>
        <v/>
      </c>
      <c r="CM470" s="87" t="str">
        <f t="shared" si="14"/>
        <v/>
      </c>
      <c r="CN470" s="88" t="str">
        <f t="shared" si="26"/>
        <v/>
      </c>
      <c r="CO470" s="88" t="str">
        <f t="shared" si="15"/>
        <v/>
      </c>
      <c r="CP470" s="88" t="str">
        <f t="shared" si="16"/>
        <v/>
      </c>
      <c r="CQ470" s="88" t="str">
        <f t="shared" si="17"/>
        <v/>
      </c>
      <c r="CR470" s="88" t="str">
        <f t="shared" si="18"/>
        <v/>
      </c>
      <c r="CS470" s="88" t="str">
        <f t="shared" si="19"/>
        <v/>
      </c>
      <c r="CT470" s="88" t="str">
        <f t="shared" si="20"/>
        <v/>
      </c>
      <c r="CU470" s="88" t="str">
        <f t="shared" si="21"/>
        <v/>
      </c>
      <c r="CV470" s="88" t="str">
        <f t="shared" si="22"/>
        <v/>
      </c>
      <c r="CW470" s="88" t="str">
        <f t="shared" si="23"/>
        <v/>
      </c>
      <c r="CX470" s="7"/>
      <c r="CY470" s="7"/>
      <c r="CZ470" s="7"/>
      <c r="DA470" s="8"/>
      <c r="DU470" s="104" t="str">
        <f t="shared" si="24"/>
        <v/>
      </c>
      <c r="DV470" s="104" t="str">
        <f>ABA!$A470</f>
        <v/>
      </c>
      <c r="DW470" s="98" t="str">
        <f t="shared" si="25"/>
        <v/>
      </c>
    </row>
    <row r="471" ht="15.75" customHeight="1">
      <c r="A471" s="78"/>
      <c r="B471" s="105"/>
      <c r="C471" s="82"/>
      <c r="D471" s="82"/>
      <c r="E471" s="83"/>
      <c r="F471" s="82"/>
      <c r="G471" s="82"/>
      <c r="H471" s="82"/>
      <c r="I471" s="83"/>
      <c r="J471" s="82"/>
      <c r="K471" s="82"/>
      <c r="L471" s="82"/>
      <c r="M471" s="83"/>
      <c r="N471" s="82"/>
      <c r="O471" s="82"/>
      <c r="P471" s="82"/>
      <c r="Q471" s="83"/>
      <c r="R471" s="82"/>
      <c r="S471" s="82"/>
      <c r="T471" s="82"/>
      <c r="U471" s="83"/>
      <c r="V471" s="82"/>
      <c r="W471" s="82"/>
      <c r="X471" s="82"/>
      <c r="Y471" s="83"/>
      <c r="Z471" s="82"/>
      <c r="AA471" s="82"/>
      <c r="AB471" s="82"/>
      <c r="AC471" s="83"/>
      <c r="AD471" s="82"/>
      <c r="AE471" s="82"/>
      <c r="AF471" s="82"/>
      <c r="AG471" s="83"/>
      <c r="AH471" s="82"/>
      <c r="AI471" s="82"/>
      <c r="AJ471" s="82"/>
      <c r="AK471" s="83"/>
      <c r="AL471" s="82"/>
      <c r="AM471" s="82"/>
      <c r="AN471" s="82"/>
      <c r="AO471" s="82"/>
      <c r="AP471" s="84" t="str">
        <f t="shared" si="2"/>
        <v/>
      </c>
      <c r="AQ471" s="9"/>
      <c r="AR471" s="9"/>
      <c r="AS471" s="8"/>
      <c r="AT471" s="9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8"/>
      <c r="BX471" s="9"/>
      <c r="BY471" s="9"/>
      <c r="BZ471" s="9"/>
      <c r="CA471" s="33"/>
      <c r="CB471" s="85" t="str">
        <f t="shared" si="3"/>
        <v/>
      </c>
      <c r="CC471" s="86" t="str">
        <f t="shared" si="4"/>
        <v/>
      </c>
      <c r="CD471" s="86" t="str">
        <f t="shared" si="5"/>
        <v/>
      </c>
      <c r="CE471" s="86" t="str">
        <f t="shared" si="6"/>
        <v/>
      </c>
      <c r="CF471" s="86" t="str">
        <f t="shared" si="7"/>
        <v/>
      </c>
      <c r="CG471" s="86" t="str">
        <f t="shared" si="8"/>
        <v/>
      </c>
      <c r="CH471" s="86" t="str">
        <f t="shared" si="9"/>
        <v/>
      </c>
      <c r="CI471" s="86" t="str">
        <f t="shared" si="10"/>
        <v/>
      </c>
      <c r="CJ471" s="86" t="str">
        <f t="shared" si="11"/>
        <v/>
      </c>
      <c r="CK471" s="86" t="str">
        <f t="shared" si="12"/>
        <v/>
      </c>
      <c r="CL471" s="86" t="str">
        <f t="shared" si="13"/>
        <v/>
      </c>
      <c r="CM471" s="87" t="str">
        <f t="shared" si="14"/>
        <v/>
      </c>
      <c r="CN471" s="88" t="str">
        <f t="shared" si="26"/>
        <v/>
      </c>
      <c r="CO471" s="88" t="str">
        <f t="shared" si="15"/>
        <v/>
      </c>
      <c r="CP471" s="88" t="str">
        <f t="shared" si="16"/>
        <v/>
      </c>
      <c r="CQ471" s="88" t="str">
        <f t="shared" si="17"/>
        <v/>
      </c>
      <c r="CR471" s="88" t="str">
        <f t="shared" si="18"/>
        <v/>
      </c>
      <c r="CS471" s="88" t="str">
        <f t="shared" si="19"/>
        <v/>
      </c>
      <c r="CT471" s="88" t="str">
        <f t="shared" si="20"/>
        <v/>
      </c>
      <c r="CU471" s="88" t="str">
        <f t="shared" si="21"/>
        <v/>
      </c>
      <c r="CV471" s="88" t="str">
        <f t="shared" si="22"/>
        <v/>
      </c>
      <c r="CW471" s="88" t="str">
        <f t="shared" si="23"/>
        <v/>
      </c>
      <c r="CX471" s="7"/>
      <c r="CY471" s="7"/>
      <c r="CZ471" s="7"/>
      <c r="DA471" s="8"/>
      <c r="DU471" s="93" t="str">
        <f t="shared" si="24"/>
        <v/>
      </c>
      <c r="DV471" s="93" t="str">
        <f>ABA!$A471</f>
        <v/>
      </c>
      <c r="DW471" s="82" t="str">
        <f t="shared" si="25"/>
        <v/>
      </c>
    </row>
    <row r="472" ht="15.75" customHeight="1">
      <c r="A472" s="85"/>
      <c r="B472" s="107"/>
      <c r="C472" s="98"/>
      <c r="D472" s="98"/>
      <c r="E472" s="99"/>
      <c r="F472" s="98"/>
      <c r="G472" s="98"/>
      <c r="H472" s="98"/>
      <c r="I472" s="99"/>
      <c r="J472" s="98"/>
      <c r="K472" s="98"/>
      <c r="L472" s="98"/>
      <c r="M472" s="99"/>
      <c r="N472" s="98"/>
      <c r="O472" s="98"/>
      <c r="P472" s="98"/>
      <c r="Q472" s="99"/>
      <c r="R472" s="98"/>
      <c r="S472" s="98"/>
      <c r="T472" s="98"/>
      <c r="U472" s="99"/>
      <c r="V472" s="98"/>
      <c r="W472" s="98"/>
      <c r="X472" s="98"/>
      <c r="Y472" s="100"/>
      <c r="Z472" s="98"/>
      <c r="AA472" s="98"/>
      <c r="AB472" s="98"/>
      <c r="AC472" s="99"/>
      <c r="AD472" s="98"/>
      <c r="AE472" s="98"/>
      <c r="AF472" s="98"/>
      <c r="AG472" s="99"/>
      <c r="AH472" s="98"/>
      <c r="AI472" s="98"/>
      <c r="AJ472" s="98"/>
      <c r="AK472" s="99"/>
      <c r="AL472" s="98"/>
      <c r="AM472" s="98"/>
      <c r="AN472" s="98"/>
      <c r="AO472" s="98"/>
      <c r="AP472" s="84" t="str">
        <f t="shared" si="2"/>
        <v/>
      </c>
      <c r="AQ472" s="9"/>
      <c r="AR472" s="9"/>
      <c r="AS472" s="8"/>
      <c r="AT472" s="9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8"/>
      <c r="BX472" s="9"/>
      <c r="BY472" s="9"/>
      <c r="BZ472" s="9"/>
      <c r="CA472" s="33"/>
      <c r="CB472" s="85" t="str">
        <f t="shared" si="3"/>
        <v/>
      </c>
      <c r="CC472" s="86" t="str">
        <f t="shared" si="4"/>
        <v/>
      </c>
      <c r="CD472" s="86" t="str">
        <f t="shared" si="5"/>
        <v/>
      </c>
      <c r="CE472" s="86" t="str">
        <f t="shared" si="6"/>
        <v/>
      </c>
      <c r="CF472" s="86" t="str">
        <f t="shared" si="7"/>
        <v/>
      </c>
      <c r="CG472" s="86" t="str">
        <f t="shared" si="8"/>
        <v/>
      </c>
      <c r="CH472" s="86" t="str">
        <f t="shared" si="9"/>
        <v/>
      </c>
      <c r="CI472" s="86" t="str">
        <f t="shared" si="10"/>
        <v/>
      </c>
      <c r="CJ472" s="86" t="str">
        <f t="shared" si="11"/>
        <v/>
      </c>
      <c r="CK472" s="86" t="str">
        <f t="shared" si="12"/>
        <v/>
      </c>
      <c r="CL472" s="86" t="str">
        <f t="shared" si="13"/>
        <v/>
      </c>
      <c r="CM472" s="87" t="str">
        <f t="shared" si="14"/>
        <v/>
      </c>
      <c r="CN472" s="88" t="str">
        <f t="shared" si="26"/>
        <v/>
      </c>
      <c r="CO472" s="88" t="str">
        <f t="shared" si="15"/>
        <v/>
      </c>
      <c r="CP472" s="88" t="str">
        <f t="shared" si="16"/>
        <v/>
      </c>
      <c r="CQ472" s="88" t="str">
        <f t="shared" si="17"/>
        <v/>
      </c>
      <c r="CR472" s="88" t="str">
        <f t="shared" si="18"/>
        <v/>
      </c>
      <c r="CS472" s="88" t="str">
        <f t="shared" si="19"/>
        <v/>
      </c>
      <c r="CT472" s="88" t="str">
        <f t="shared" si="20"/>
        <v/>
      </c>
      <c r="CU472" s="88" t="str">
        <f t="shared" si="21"/>
        <v/>
      </c>
      <c r="CV472" s="88" t="str">
        <f t="shared" si="22"/>
        <v/>
      </c>
      <c r="CW472" s="88" t="str">
        <f t="shared" si="23"/>
        <v/>
      </c>
      <c r="CX472" s="7"/>
      <c r="CY472" s="7"/>
      <c r="CZ472" s="7"/>
      <c r="DA472" s="8"/>
      <c r="DU472" s="93" t="str">
        <f t="shared" si="24"/>
        <v/>
      </c>
      <c r="DV472" s="104" t="str">
        <f>ABA!$A472</f>
        <v/>
      </c>
      <c r="DW472" s="98" t="str">
        <f t="shared" si="25"/>
        <v/>
      </c>
    </row>
    <row r="473" ht="15.75" customHeight="1">
      <c r="A473" s="78"/>
      <c r="B473" s="105"/>
      <c r="C473" s="82"/>
      <c r="D473" s="82"/>
      <c r="E473" s="83"/>
      <c r="F473" s="82"/>
      <c r="G473" s="82"/>
      <c r="H473" s="82"/>
      <c r="I473" s="83"/>
      <c r="J473" s="82"/>
      <c r="K473" s="82"/>
      <c r="L473" s="82"/>
      <c r="M473" s="83"/>
      <c r="N473" s="82"/>
      <c r="O473" s="82"/>
      <c r="P473" s="82"/>
      <c r="Q473" s="83"/>
      <c r="R473" s="82"/>
      <c r="S473" s="82"/>
      <c r="T473" s="82"/>
      <c r="U473" s="83"/>
      <c r="V473" s="82"/>
      <c r="W473" s="82"/>
      <c r="X473" s="82"/>
      <c r="Y473" s="83"/>
      <c r="Z473" s="82"/>
      <c r="AA473" s="82"/>
      <c r="AB473" s="82"/>
      <c r="AC473" s="83"/>
      <c r="AD473" s="82"/>
      <c r="AE473" s="82"/>
      <c r="AF473" s="82"/>
      <c r="AG473" s="83"/>
      <c r="AH473" s="82"/>
      <c r="AI473" s="82"/>
      <c r="AJ473" s="82"/>
      <c r="AK473" s="83"/>
      <c r="AL473" s="82"/>
      <c r="AM473" s="82"/>
      <c r="AN473" s="82"/>
      <c r="AO473" s="82"/>
      <c r="AP473" s="84" t="str">
        <f t="shared" si="2"/>
        <v/>
      </c>
      <c r="AQ473" s="9"/>
      <c r="AR473" s="9"/>
      <c r="AS473" s="8"/>
      <c r="AT473" s="9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8"/>
      <c r="BX473" s="9"/>
      <c r="BY473" s="9"/>
      <c r="BZ473" s="9"/>
      <c r="CA473" s="33"/>
      <c r="CB473" s="85" t="str">
        <f t="shared" si="3"/>
        <v/>
      </c>
      <c r="CC473" s="86" t="str">
        <f t="shared" si="4"/>
        <v/>
      </c>
      <c r="CD473" s="86" t="str">
        <f t="shared" si="5"/>
        <v/>
      </c>
      <c r="CE473" s="86" t="str">
        <f t="shared" si="6"/>
        <v/>
      </c>
      <c r="CF473" s="86" t="str">
        <f t="shared" si="7"/>
        <v/>
      </c>
      <c r="CG473" s="86" t="str">
        <f t="shared" si="8"/>
        <v/>
      </c>
      <c r="CH473" s="86" t="str">
        <f t="shared" si="9"/>
        <v/>
      </c>
      <c r="CI473" s="86" t="str">
        <f t="shared" si="10"/>
        <v/>
      </c>
      <c r="CJ473" s="86" t="str">
        <f t="shared" si="11"/>
        <v/>
      </c>
      <c r="CK473" s="86" t="str">
        <f t="shared" si="12"/>
        <v/>
      </c>
      <c r="CL473" s="86" t="str">
        <f t="shared" si="13"/>
        <v/>
      </c>
      <c r="CM473" s="87" t="str">
        <f t="shared" si="14"/>
        <v/>
      </c>
      <c r="CN473" s="88" t="str">
        <f t="shared" si="26"/>
        <v/>
      </c>
      <c r="CO473" s="88" t="str">
        <f t="shared" si="15"/>
        <v/>
      </c>
      <c r="CP473" s="88" t="str">
        <f t="shared" si="16"/>
        <v/>
      </c>
      <c r="CQ473" s="88" t="str">
        <f t="shared" si="17"/>
        <v/>
      </c>
      <c r="CR473" s="88" t="str">
        <f t="shared" si="18"/>
        <v/>
      </c>
      <c r="CS473" s="88" t="str">
        <f t="shared" si="19"/>
        <v/>
      </c>
      <c r="CT473" s="88" t="str">
        <f t="shared" si="20"/>
        <v/>
      </c>
      <c r="CU473" s="88" t="str">
        <f t="shared" si="21"/>
        <v/>
      </c>
      <c r="CV473" s="88" t="str">
        <f t="shared" si="22"/>
        <v/>
      </c>
      <c r="CW473" s="88" t="str">
        <f t="shared" si="23"/>
        <v/>
      </c>
      <c r="CX473" s="7"/>
      <c r="CY473" s="7"/>
      <c r="CZ473" s="7"/>
      <c r="DA473" s="8"/>
      <c r="DU473" s="104" t="str">
        <f t="shared" si="24"/>
        <v/>
      </c>
      <c r="DV473" s="93" t="str">
        <f>ABA!$A473</f>
        <v/>
      </c>
      <c r="DW473" s="82" t="str">
        <f t="shared" si="25"/>
        <v/>
      </c>
    </row>
    <row r="474" ht="15.75" customHeight="1">
      <c r="A474" s="85"/>
      <c r="B474" s="107"/>
      <c r="C474" s="98"/>
      <c r="D474" s="98"/>
      <c r="E474" s="99"/>
      <c r="F474" s="98"/>
      <c r="G474" s="98"/>
      <c r="H474" s="98"/>
      <c r="I474" s="99"/>
      <c r="J474" s="98"/>
      <c r="K474" s="98"/>
      <c r="L474" s="98"/>
      <c r="M474" s="99"/>
      <c r="N474" s="98"/>
      <c r="O474" s="98"/>
      <c r="P474" s="98"/>
      <c r="Q474" s="99"/>
      <c r="R474" s="98"/>
      <c r="S474" s="98"/>
      <c r="T474" s="98"/>
      <c r="U474" s="99"/>
      <c r="V474" s="98"/>
      <c r="W474" s="98"/>
      <c r="X474" s="98"/>
      <c r="Y474" s="100"/>
      <c r="Z474" s="98"/>
      <c r="AA474" s="98"/>
      <c r="AB474" s="98"/>
      <c r="AC474" s="99"/>
      <c r="AD474" s="98"/>
      <c r="AE474" s="98"/>
      <c r="AF474" s="98"/>
      <c r="AG474" s="99"/>
      <c r="AH474" s="98"/>
      <c r="AI474" s="98"/>
      <c r="AJ474" s="98"/>
      <c r="AK474" s="99"/>
      <c r="AL474" s="98"/>
      <c r="AM474" s="98"/>
      <c r="AN474" s="98"/>
      <c r="AO474" s="98"/>
      <c r="AP474" s="84" t="str">
        <f t="shared" si="2"/>
        <v/>
      </c>
      <c r="AQ474" s="9"/>
      <c r="AR474" s="9"/>
      <c r="AS474" s="8"/>
      <c r="AT474" s="9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8"/>
      <c r="BX474" s="9"/>
      <c r="BY474" s="9"/>
      <c r="BZ474" s="9"/>
      <c r="CA474" s="33"/>
      <c r="CB474" s="85" t="str">
        <f t="shared" si="3"/>
        <v/>
      </c>
      <c r="CC474" s="86" t="str">
        <f t="shared" si="4"/>
        <v/>
      </c>
      <c r="CD474" s="86" t="str">
        <f t="shared" si="5"/>
        <v/>
      </c>
      <c r="CE474" s="86" t="str">
        <f t="shared" si="6"/>
        <v/>
      </c>
      <c r="CF474" s="86" t="str">
        <f t="shared" si="7"/>
        <v/>
      </c>
      <c r="CG474" s="86" t="str">
        <f t="shared" si="8"/>
        <v/>
      </c>
      <c r="CH474" s="86" t="str">
        <f t="shared" si="9"/>
        <v/>
      </c>
      <c r="CI474" s="86" t="str">
        <f t="shared" si="10"/>
        <v/>
      </c>
      <c r="CJ474" s="86" t="str">
        <f t="shared" si="11"/>
        <v/>
      </c>
      <c r="CK474" s="86" t="str">
        <f t="shared" si="12"/>
        <v/>
      </c>
      <c r="CL474" s="86" t="str">
        <f t="shared" si="13"/>
        <v/>
      </c>
      <c r="CM474" s="87" t="str">
        <f t="shared" si="14"/>
        <v/>
      </c>
      <c r="CN474" s="88" t="str">
        <f t="shared" si="26"/>
        <v/>
      </c>
      <c r="CO474" s="88" t="str">
        <f t="shared" si="15"/>
        <v/>
      </c>
      <c r="CP474" s="88" t="str">
        <f t="shared" si="16"/>
        <v/>
      </c>
      <c r="CQ474" s="88" t="str">
        <f t="shared" si="17"/>
        <v/>
      </c>
      <c r="CR474" s="88" t="str">
        <f t="shared" si="18"/>
        <v/>
      </c>
      <c r="CS474" s="88" t="str">
        <f t="shared" si="19"/>
        <v/>
      </c>
      <c r="CT474" s="88" t="str">
        <f t="shared" si="20"/>
        <v/>
      </c>
      <c r="CU474" s="88" t="str">
        <f t="shared" si="21"/>
        <v/>
      </c>
      <c r="CV474" s="88" t="str">
        <f t="shared" si="22"/>
        <v/>
      </c>
      <c r="CW474" s="88" t="str">
        <f t="shared" si="23"/>
        <v/>
      </c>
      <c r="CX474" s="7"/>
      <c r="CY474" s="7"/>
      <c r="CZ474" s="7"/>
      <c r="DA474" s="8"/>
      <c r="DU474" s="93" t="str">
        <f t="shared" si="24"/>
        <v/>
      </c>
      <c r="DV474" s="104" t="str">
        <f>ABA!$A474</f>
        <v/>
      </c>
      <c r="DW474" s="98" t="str">
        <f t="shared" si="25"/>
        <v/>
      </c>
    </row>
    <row r="475" ht="15.75" customHeight="1">
      <c r="A475" s="78"/>
      <c r="B475" s="105"/>
      <c r="C475" s="82"/>
      <c r="D475" s="82"/>
      <c r="E475" s="83"/>
      <c r="F475" s="82"/>
      <c r="G475" s="82"/>
      <c r="H475" s="82"/>
      <c r="I475" s="83"/>
      <c r="J475" s="82"/>
      <c r="K475" s="82"/>
      <c r="L475" s="82"/>
      <c r="M475" s="83"/>
      <c r="N475" s="82"/>
      <c r="O475" s="82"/>
      <c r="P475" s="82"/>
      <c r="Q475" s="83"/>
      <c r="R475" s="82"/>
      <c r="S475" s="82"/>
      <c r="T475" s="82"/>
      <c r="U475" s="83"/>
      <c r="V475" s="82"/>
      <c r="W475" s="82"/>
      <c r="X475" s="82"/>
      <c r="Y475" s="83"/>
      <c r="Z475" s="82"/>
      <c r="AA475" s="82"/>
      <c r="AB475" s="82"/>
      <c r="AC475" s="83"/>
      <c r="AD475" s="82"/>
      <c r="AE475" s="82"/>
      <c r="AF475" s="82"/>
      <c r="AG475" s="83"/>
      <c r="AH475" s="82"/>
      <c r="AI475" s="82"/>
      <c r="AJ475" s="82"/>
      <c r="AK475" s="83"/>
      <c r="AL475" s="82"/>
      <c r="AM475" s="82"/>
      <c r="AN475" s="82"/>
      <c r="AO475" s="82"/>
      <c r="AP475" s="84" t="str">
        <f t="shared" si="2"/>
        <v/>
      </c>
      <c r="AQ475" s="9"/>
      <c r="AR475" s="9"/>
      <c r="AS475" s="8"/>
      <c r="AT475" s="9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8"/>
      <c r="BX475" s="9"/>
      <c r="BY475" s="9"/>
      <c r="BZ475" s="9"/>
      <c r="CA475" s="33"/>
      <c r="CB475" s="85" t="str">
        <f t="shared" si="3"/>
        <v/>
      </c>
      <c r="CC475" s="86" t="str">
        <f t="shared" si="4"/>
        <v/>
      </c>
      <c r="CD475" s="86" t="str">
        <f t="shared" si="5"/>
        <v/>
      </c>
      <c r="CE475" s="86" t="str">
        <f t="shared" si="6"/>
        <v/>
      </c>
      <c r="CF475" s="86" t="str">
        <f t="shared" si="7"/>
        <v/>
      </c>
      <c r="CG475" s="86" t="str">
        <f t="shared" si="8"/>
        <v/>
      </c>
      <c r="CH475" s="86" t="str">
        <f t="shared" si="9"/>
        <v/>
      </c>
      <c r="CI475" s="86" t="str">
        <f t="shared" si="10"/>
        <v/>
      </c>
      <c r="CJ475" s="86" t="str">
        <f t="shared" si="11"/>
        <v/>
      </c>
      <c r="CK475" s="86" t="str">
        <f t="shared" si="12"/>
        <v/>
      </c>
      <c r="CL475" s="86" t="str">
        <f t="shared" si="13"/>
        <v/>
      </c>
      <c r="CM475" s="87" t="str">
        <f t="shared" si="14"/>
        <v/>
      </c>
      <c r="CN475" s="88" t="str">
        <f t="shared" si="26"/>
        <v/>
      </c>
      <c r="CO475" s="88" t="str">
        <f t="shared" si="15"/>
        <v/>
      </c>
      <c r="CP475" s="88" t="str">
        <f t="shared" si="16"/>
        <v/>
      </c>
      <c r="CQ475" s="88" t="str">
        <f t="shared" si="17"/>
        <v/>
      </c>
      <c r="CR475" s="88" t="str">
        <f t="shared" si="18"/>
        <v/>
      </c>
      <c r="CS475" s="88" t="str">
        <f t="shared" si="19"/>
        <v/>
      </c>
      <c r="CT475" s="88" t="str">
        <f t="shared" si="20"/>
        <v/>
      </c>
      <c r="CU475" s="88" t="str">
        <f t="shared" si="21"/>
        <v/>
      </c>
      <c r="CV475" s="88" t="str">
        <f t="shared" si="22"/>
        <v/>
      </c>
      <c r="CW475" s="88" t="str">
        <f t="shared" si="23"/>
        <v/>
      </c>
      <c r="CX475" s="7"/>
      <c r="CY475" s="7"/>
      <c r="CZ475" s="7"/>
      <c r="DA475" s="8"/>
      <c r="DU475" s="104" t="str">
        <f t="shared" si="24"/>
        <v/>
      </c>
      <c r="DV475" s="93" t="str">
        <f>ABA!$A475</f>
        <v/>
      </c>
      <c r="DW475" s="82" t="str">
        <f t="shared" si="25"/>
        <v/>
      </c>
    </row>
    <row r="476" ht="15.75" customHeight="1">
      <c r="A476" s="85"/>
      <c r="B476" s="107"/>
      <c r="C476" s="98"/>
      <c r="D476" s="98"/>
      <c r="E476" s="99"/>
      <c r="F476" s="98"/>
      <c r="G476" s="98"/>
      <c r="H476" s="98"/>
      <c r="I476" s="99"/>
      <c r="J476" s="98"/>
      <c r="K476" s="98"/>
      <c r="L476" s="98"/>
      <c r="M476" s="99"/>
      <c r="N476" s="98"/>
      <c r="O476" s="98"/>
      <c r="P476" s="98"/>
      <c r="Q476" s="99"/>
      <c r="R476" s="98"/>
      <c r="S476" s="98"/>
      <c r="T476" s="98"/>
      <c r="U476" s="99"/>
      <c r="V476" s="98"/>
      <c r="W476" s="98"/>
      <c r="X476" s="98"/>
      <c r="Y476" s="100"/>
      <c r="Z476" s="98"/>
      <c r="AA476" s="98"/>
      <c r="AB476" s="98"/>
      <c r="AC476" s="99"/>
      <c r="AD476" s="98"/>
      <c r="AE476" s="98"/>
      <c r="AF476" s="98"/>
      <c r="AG476" s="99"/>
      <c r="AH476" s="98"/>
      <c r="AI476" s="98"/>
      <c r="AJ476" s="98"/>
      <c r="AK476" s="99"/>
      <c r="AL476" s="98"/>
      <c r="AM476" s="98"/>
      <c r="AN476" s="98"/>
      <c r="AO476" s="98"/>
      <c r="AP476" s="84" t="str">
        <f t="shared" si="2"/>
        <v/>
      </c>
      <c r="AQ476" s="9"/>
      <c r="AR476" s="9"/>
      <c r="AS476" s="8"/>
      <c r="AT476" s="9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8"/>
      <c r="BX476" s="9"/>
      <c r="BY476" s="9"/>
      <c r="BZ476" s="9"/>
      <c r="CA476" s="33"/>
      <c r="CB476" s="85" t="str">
        <f t="shared" si="3"/>
        <v/>
      </c>
      <c r="CC476" s="86" t="str">
        <f t="shared" si="4"/>
        <v/>
      </c>
      <c r="CD476" s="86" t="str">
        <f t="shared" si="5"/>
        <v/>
      </c>
      <c r="CE476" s="86" t="str">
        <f t="shared" si="6"/>
        <v/>
      </c>
      <c r="CF476" s="86" t="str">
        <f t="shared" si="7"/>
        <v/>
      </c>
      <c r="CG476" s="86" t="str">
        <f t="shared" si="8"/>
        <v/>
      </c>
      <c r="CH476" s="86" t="str">
        <f t="shared" si="9"/>
        <v/>
      </c>
      <c r="CI476" s="86" t="str">
        <f t="shared" si="10"/>
        <v/>
      </c>
      <c r="CJ476" s="86" t="str">
        <f t="shared" si="11"/>
        <v/>
      </c>
      <c r="CK476" s="86" t="str">
        <f t="shared" si="12"/>
        <v/>
      </c>
      <c r="CL476" s="86" t="str">
        <f t="shared" si="13"/>
        <v/>
      </c>
      <c r="CM476" s="87" t="str">
        <f t="shared" si="14"/>
        <v/>
      </c>
      <c r="CN476" s="88" t="str">
        <f t="shared" si="26"/>
        <v/>
      </c>
      <c r="CO476" s="88" t="str">
        <f t="shared" si="15"/>
        <v/>
      </c>
      <c r="CP476" s="88" t="str">
        <f t="shared" si="16"/>
        <v/>
      </c>
      <c r="CQ476" s="88" t="str">
        <f t="shared" si="17"/>
        <v/>
      </c>
      <c r="CR476" s="88" t="str">
        <f t="shared" si="18"/>
        <v/>
      </c>
      <c r="CS476" s="88" t="str">
        <f t="shared" si="19"/>
        <v/>
      </c>
      <c r="CT476" s="88" t="str">
        <f t="shared" si="20"/>
        <v/>
      </c>
      <c r="CU476" s="88" t="str">
        <f t="shared" si="21"/>
        <v/>
      </c>
      <c r="CV476" s="88" t="str">
        <f t="shared" si="22"/>
        <v/>
      </c>
      <c r="CW476" s="88" t="str">
        <f t="shared" si="23"/>
        <v/>
      </c>
      <c r="CX476" s="7"/>
      <c r="CY476" s="7"/>
      <c r="CZ476" s="7"/>
      <c r="DA476" s="8"/>
      <c r="DU476" s="93" t="str">
        <f t="shared" si="24"/>
        <v/>
      </c>
      <c r="DV476" s="104" t="str">
        <f>ABA!$A476</f>
        <v/>
      </c>
      <c r="DW476" s="98" t="str">
        <f t="shared" si="25"/>
        <v/>
      </c>
    </row>
    <row r="477" ht="15.75" customHeight="1">
      <c r="A477" s="78"/>
      <c r="B477" s="105"/>
      <c r="C477" s="82"/>
      <c r="D477" s="82"/>
      <c r="E477" s="83"/>
      <c r="F477" s="82"/>
      <c r="G477" s="82"/>
      <c r="H477" s="82"/>
      <c r="I477" s="83"/>
      <c r="J477" s="82"/>
      <c r="K477" s="82"/>
      <c r="L477" s="82"/>
      <c r="M477" s="83"/>
      <c r="N477" s="82"/>
      <c r="O477" s="82"/>
      <c r="P477" s="82"/>
      <c r="Q477" s="83"/>
      <c r="R477" s="82"/>
      <c r="S477" s="82"/>
      <c r="T477" s="82"/>
      <c r="U477" s="83"/>
      <c r="V477" s="82"/>
      <c r="W477" s="82"/>
      <c r="X477" s="82"/>
      <c r="Y477" s="83"/>
      <c r="Z477" s="82"/>
      <c r="AA477" s="82"/>
      <c r="AB477" s="82"/>
      <c r="AC477" s="83"/>
      <c r="AD477" s="82"/>
      <c r="AE477" s="82"/>
      <c r="AF477" s="82"/>
      <c r="AG477" s="83"/>
      <c r="AH477" s="82"/>
      <c r="AI477" s="82"/>
      <c r="AJ477" s="82"/>
      <c r="AK477" s="83"/>
      <c r="AL477" s="82"/>
      <c r="AM477" s="82"/>
      <c r="AN477" s="82"/>
      <c r="AO477" s="82"/>
      <c r="AP477" s="84" t="str">
        <f t="shared" si="2"/>
        <v/>
      </c>
      <c r="AQ477" s="9"/>
      <c r="AR477" s="9"/>
      <c r="AS477" s="8"/>
      <c r="AT477" s="9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8"/>
      <c r="BX477" s="9"/>
      <c r="BY477" s="9"/>
      <c r="BZ477" s="9"/>
      <c r="CA477" s="33"/>
      <c r="CB477" s="85" t="str">
        <f t="shared" si="3"/>
        <v/>
      </c>
      <c r="CC477" s="86" t="str">
        <f t="shared" si="4"/>
        <v/>
      </c>
      <c r="CD477" s="86" t="str">
        <f t="shared" si="5"/>
        <v/>
      </c>
      <c r="CE477" s="86" t="str">
        <f t="shared" si="6"/>
        <v/>
      </c>
      <c r="CF477" s="86" t="str">
        <f t="shared" si="7"/>
        <v/>
      </c>
      <c r="CG477" s="86" t="str">
        <f t="shared" si="8"/>
        <v/>
      </c>
      <c r="CH477" s="86" t="str">
        <f t="shared" si="9"/>
        <v/>
      </c>
      <c r="CI477" s="86" t="str">
        <f t="shared" si="10"/>
        <v/>
      </c>
      <c r="CJ477" s="86" t="str">
        <f t="shared" si="11"/>
        <v/>
      </c>
      <c r="CK477" s="86" t="str">
        <f t="shared" si="12"/>
        <v/>
      </c>
      <c r="CL477" s="86" t="str">
        <f t="shared" si="13"/>
        <v/>
      </c>
      <c r="CM477" s="87" t="str">
        <f t="shared" si="14"/>
        <v/>
      </c>
      <c r="CN477" s="88" t="str">
        <f t="shared" si="26"/>
        <v/>
      </c>
      <c r="CO477" s="88" t="str">
        <f t="shared" si="15"/>
        <v/>
      </c>
      <c r="CP477" s="88" t="str">
        <f t="shared" si="16"/>
        <v/>
      </c>
      <c r="CQ477" s="88" t="str">
        <f t="shared" si="17"/>
        <v/>
      </c>
      <c r="CR477" s="88" t="str">
        <f t="shared" si="18"/>
        <v/>
      </c>
      <c r="CS477" s="88" t="str">
        <f t="shared" si="19"/>
        <v/>
      </c>
      <c r="CT477" s="88" t="str">
        <f t="shared" si="20"/>
        <v/>
      </c>
      <c r="CU477" s="88" t="str">
        <f t="shared" si="21"/>
        <v/>
      </c>
      <c r="CV477" s="88" t="str">
        <f t="shared" si="22"/>
        <v/>
      </c>
      <c r="CW477" s="88" t="str">
        <f t="shared" si="23"/>
        <v/>
      </c>
      <c r="CX477" s="7"/>
      <c r="CY477" s="7"/>
      <c r="CZ477" s="7"/>
      <c r="DA477" s="8"/>
      <c r="DU477" s="104" t="str">
        <f t="shared" si="24"/>
        <v/>
      </c>
      <c r="DV477" s="93" t="str">
        <f>ABA!$A477</f>
        <v/>
      </c>
      <c r="DW477" s="82" t="str">
        <f t="shared" si="25"/>
        <v/>
      </c>
    </row>
    <row r="478" ht="15.75" customHeight="1">
      <c r="A478" s="85"/>
      <c r="B478" s="107"/>
      <c r="C478" s="98"/>
      <c r="D478" s="98"/>
      <c r="E478" s="99"/>
      <c r="F478" s="98"/>
      <c r="G478" s="98"/>
      <c r="H478" s="98"/>
      <c r="I478" s="99"/>
      <c r="J478" s="98"/>
      <c r="K478" s="98"/>
      <c r="L478" s="98"/>
      <c r="M478" s="99"/>
      <c r="N478" s="98"/>
      <c r="O478" s="98"/>
      <c r="P478" s="98"/>
      <c r="Q478" s="99"/>
      <c r="R478" s="98"/>
      <c r="S478" s="98"/>
      <c r="T478" s="98"/>
      <c r="U478" s="99"/>
      <c r="V478" s="98"/>
      <c r="W478" s="98"/>
      <c r="X478" s="98"/>
      <c r="Y478" s="100"/>
      <c r="Z478" s="98"/>
      <c r="AA478" s="98"/>
      <c r="AB478" s="98"/>
      <c r="AC478" s="99"/>
      <c r="AD478" s="98"/>
      <c r="AE478" s="98"/>
      <c r="AF478" s="98"/>
      <c r="AG478" s="99"/>
      <c r="AH478" s="98"/>
      <c r="AI478" s="98"/>
      <c r="AJ478" s="98"/>
      <c r="AK478" s="99"/>
      <c r="AL478" s="98"/>
      <c r="AM478" s="98"/>
      <c r="AN478" s="98"/>
      <c r="AO478" s="98"/>
      <c r="AP478" s="84" t="str">
        <f t="shared" si="2"/>
        <v/>
      </c>
      <c r="AQ478" s="9"/>
      <c r="AR478" s="9"/>
      <c r="AS478" s="8"/>
      <c r="AT478" s="9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8"/>
      <c r="BX478" s="9"/>
      <c r="BY478" s="9"/>
      <c r="BZ478" s="9"/>
      <c r="CA478" s="33"/>
      <c r="CB478" s="85" t="str">
        <f t="shared" si="3"/>
        <v/>
      </c>
      <c r="CC478" s="86" t="str">
        <f t="shared" si="4"/>
        <v/>
      </c>
      <c r="CD478" s="86" t="str">
        <f t="shared" si="5"/>
        <v/>
      </c>
      <c r="CE478" s="86" t="str">
        <f t="shared" si="6"/>
        <v/>
      </c>
      <c r="CF478" s="86" t="str">
        <f t="shared" si="7"/>
        <v/>
      </c>
      <c r="CG478" s="86" t="str">
        <f t="shared" si="8"/>
        <v/>
      </c>
      <c r="CH478" s="86" t="str">
        <f t="shared" si="9"/>
        <v/>
      </c>
      <c r="CI478" s="86" t="str">
        <f t="shared" si="10"/>
        <v/>
      </c>
      <c r="CJ478" s="86" t="str">
        <f t="shared" si="11"/>
        <v/>
      </c>
      <c r="CK478" s="86" t="str">
        <f t="shared" si="12"/>
        <v/>
      </c>
      <c r="CL478" s="86" t="str">
        <f t="shared" si="13"/>
        <v/>
      </c>
      <c r="CM478" s="87" t="str">
        <f t="shared" si="14"/>
        <v/>
      </c>
      <c r="CN478" s="88" t="str">
        <f t="shared" si="26"/>
        <v/>
      </c>
      <c r="CO478" s="88" t="str">
        <f t="shared" si="15"/>
        <v/>
      </c>
      <c r="CP478" s="88" t="str">
        <f t="shared" si="16"/>
        <v/>
      </c>
      <c r="CQ478" s="88" t="str">
        <f t="shared" si="17"/>
        <v/>
      </c>
      <c r="CR478" s="88" t="str">
        <f t="shared" si="18"/>
        <v/>
      </c>
      <c r="CS478" s="88" t="str">
        <f t="shared" si="19"/>
        <v/>
      </c>
      <c r="CT478" s="88" t="str">
        <f t="shared" si="20"/>
        <v/>
      </c>
      <c r="CU478" s="88" t="str">
        <f t="shared" si="21"/>
        <v/>
      </c>
      <c r="CV478" s="88" t="str">
        <f t="shared" si="22"/>
        <v/>
      </c>
      <c r="CW478" s="88" t="str">
        <f t="shared" si="23"/>
        <v/>
      </c>
      <c r="CX478" s="7"/>
      <c r="CY478" s="7"/>
      <c r="CZ478" s="7"/>
      <c r="DA478" s="8"/>
      <c r="DU478" s="93" t="str">
        <f t="shared" si="24"/>
        <v/>
      </c>
      <c r="DV478" s="104" t="str">
        <f>ABA!$A478</f>
        <v/>
      </c>
      <c r="DW478" s="98" t="str">
        <f t="shared" si="25"/>
        <v/>
      </c>
    </row>
    <row r="479" ht="15.75" customHeight="1">
      <c r="A479" s="78"/>
      <c r="B479" s="105"/>
      <c r="C479" s="82"/>
      <c r="D479" s="82"/>
      <c r="E479" s="83"/>
      <c r="F479" s="82"/>
      <c r="G479" s="82"/>
      <c r="H479" s="82"/>
      <c r="I479" s="83"/>
      <c r="J479" s="82"/>
      <c r="K479" s="82"/>
      <c r="L479" s="82"/>
      <c r="M479" s="83"/>
      <c r="N479" s="82"/>
      <c r="O479" s="82"/>
      <c r="P479" s="82"/>
      <c r="Q479" s="83"/>
      <c r="R479" s="82"/>
      <c r="S479" s="82"/>
      <c r="T479" s="82"/>
      <c r="U479" s="83"/>
      <c r="V479" s="82"/>
      <c r="W479" s="82"/>
      <c r="X479" s="82"/>
      <c r="Y479" s="83"/>
      <c r="Z479" s="82"/>
      <c r="AA479" s="82"/>
      <c r="AB479" s="82"/>
      <c r="AC479" s="83"/>
      <c r="AD479" s="82"/>
      <c r="AE479" s="82"/>
      <c r="AF479" s="82"/>
      <c r="AG479" s="83"/>
      <c r="AH479" s="82"/>
      <c r="AI479" s="82"/>
      <c r="AJ479" s="82"/>
      <c r="AK479" s="83"/>
      <c r="AL479" s="82"/>
      <c r="AM479" s="82"/>
      <c r="AN479" s="82"/>
      <c r="AO479" s="82"/>
      <c r="AP479" s="84" t="str">
        <f t="shared" si="2"/>
        <v/>
      </c>
      <c r="AQ479" s="9"/>
      <c r="AR479" s="9"/>
      <c r="AS479" s="8"/>
      <c r="AT479" s="9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8"/>
      <c r="BX479" s="9"/>
      <c r="BY479" s="9"/>
      <c r="BZ479" s="9"/>
      <c r="CA479" s="33"/>
      <c r="CB479" s="85" t="str">
        <f t="shared" si="3"/>
        <v/>
      </c>
      <c r="CC479" s="86" t="str">
        <f t="shared" si="4"/>
        <v/>
      </c>
      <c r="CD479" s="86" t="str">
        <f t="shared" si="5"/>
        <v/>
      </c>
      <c r="CE479" s="86" t="str">
        <f t="shared" si="6"/>
        <v/>
      </c>
      <c r="CF479" s="86" t="str">
        <f t="shared" si="7"/>
        <v/>
      </c>
      <c r="CG479" s="86" t="str">
        <f t="shared" si="8"/>
        <v/>
      </c>
      <c r="CH479" s="86" t="str">
        <f t="shared" si="9"/>
        <v/>
      </c>
      <c r="CI479" s="86" t="str">
        <f t="shared" si="10"/>
        <v/>
      </c>
      <c r="CJ479" s="86" t="str">
        <f t="shared" si="11"/>
        <v/>
      </c>
      <c r="CK479" s="86" t="str">
        <f t="shared" si="12"/>
        <v/>
      </c>
      <c r="CL479" s="86" t="str">
        <f t="shared" si="13"/>
        <v/>
      </c>
      <c r="CM479" s="87" t="str">
        <f t="shared" si="14"/>
        <v/>
      </c>
      <c r="CN479" s="88" t="str">
        <f t="shared" si="26"/>
        <v/>
      </c>
      <c r="CO479" s="88" t="str">
        <f t="shared" si="15"/>
        <v/>
      </c>
      <c r="CP479" s="88" t="str">
        <f t="shared" si="16"/>
        <v/>
      </c>
      <c r="CQ479" s="88" t="str">
        <f t="shared" si="17"/>
        <v/>
      </c>
      <c r="CR479" s="88" t="str">
        <f t="shared" si="18"/>
        <v/>
      </c>
      <c r="CS479" s="88" t="str">
        <f t="shared" si="19"/>
        <v/>
      </c>
      <c r="CT479" s="88" t="str">
        <f t="shared" si="20"/>
        <v/>
      </c>
      <c r="CU479" s="88" t="str">
        <f t="shared" si="21"/>
        <v/>
      </c>
      <c r="CV479" s="88" t="str">
        <f t="shared" si="22"/>
        <v/>
      </c>
      <c r="CW479" s="88" t="str">
        <f t="shared" si="23"/>
        <v/>
      </c>
      <c r="CX479" s="7"/>
      <c r="CY479" s="7"/>
      <c r="CZ479" s="7"/>
      <c r="DA479" s="8"/>
      <c r="DU479" s="104" t="str">
        <f t="shared" si="24"/>
        <v/>
      </c>
      <c r="DV479" s="93" t="str">
        <f>ABA!$A479</f>
        <v/>
      </c>
      <c r="DW479" s="82" t="str">
        <f t="shared" si="25"/>
        <v/>
      </c>
    </row>
    <row r="480" ht="15.75" customHeight="1">
      <c r="A480" s="85"/>
      <c r="B480" s="107"/>
      <c r="C480" s="98"/>
      <c r="D480" s="98"/>
      <c r="E480" s="99"/>
      <c r="F480" s="98"/>
      <c r="G480" s="98"/>
      <c r="H480" s="98"/>
      <c r="I480" s="99"/>
      <c r="J480" s="98"/>
      <c r="K480" s="98"/>
      <c r="L480" s="98"/>
      <c r="M480" s="99"/>
      <c r="N480" s="98"/>
      <c r="O480" s="98"/>
      <c r="P480" s="98"/>
      <c r="Q480" s="99"/>
      <c r="R480" s="98"/>
      <c r="S480" s="98"/>
      <c r="T480" s="98"/>
      <c r="U480" s="99"/>
      <c r="V480" s="98"/>
      <c r="W480" s="98"/>
      <c r="X480" s="98"/>
      <c r="Y480" s="100"/>
      <c r="Z480" s="98"/>
      <c r="AA480" s="98"/>
      <c r="AB480" s="98"/>
      <c r="AC480" s="99"/>
      <c r="AD480" s="98"/>
      <c r="AE480" s="98"/>
      <c r="AF480" s="98"/>
      <c r="AG480" s="99"/>
      <c r="AH480" s="98"/>
      <c r="AI480" s="98"/>
      <c r="AJ480" s="98"/>
      <c r="AK480" s="99"/>
      <c r="AL480" s="98"/>
      <c r="AM480" s="98"/>
      <c r="AN480" s="98"/>
      <c r="AO480" s="98"/>
      <c r="AP480" s="84" t="str">
        <f t="shared" si="2"/>
        <v/>
      </c>
      <c r="AQ480" s="9"/>
      <c r="AR480" s="9"/>
      <c r="AS480" s="8"/>
      <c r="AT480" s="9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8"/>
      <c r="BX480" s="9"/>
      <c r="BY480" s="9"/>
      <c r="BZ480" s="9"/>
      <c r="CA480" s="33"/>
      <c r="CB480" s="85" t="str">
        <f t="shared" si="3"/>
        <v/>
      </c>
      <c r="CC480" s="86" t="str">
        <f t="shared" si="4"/>
        <v/>
      </c>
      <c r="CD480" s="86" t="str">
        <f t="shared" si="5"/>
        <v/>
      </c>
      <c r="CE480" s="86" t="str">
        <f t="shared" si="6"/>
        <v/>
      </c>
      <c r="CF480" s="86" t="str">
        <f t="shared" si="7"/>
        <v/>
      </c>
      <c r="CG480" s="86" t="str">
        <f t="shared" si="8"/>
        <v/>
      </c>
      <c r="CH480" s="86" t="str">
        <f t="shared" si="9"/>
        <v/>
      </c>
      <c r="CI480" s="86" t="str">
        <f t="shared" si="10"/>
        <v/>
      </c>
      <c r="CJ480" s="86" t="str">
        <f t="shared" si="11"/>
        <v/>
      </c>
      <c r="CK480" s="86" t="str">
        <f t="shared" si="12"/>
        <v/>
      </c>
      <c r="CL480" s="86" t="str">
        <f t="shared" si="13"/>
        <v/>
      </c>
      <c r="CM480" s="87" t="str">
        <f t="shared" si="14"/>
        <v/>
      </c>
      <c r="CN480" s="88" t="str">
        <f t="shared" si="26"/>
        <v/>
      </c>
      <c r="CO480" s="88" t="str">
        <f t="shared" si="15"/>
        <v/>
      </c>
      <c r="CP480" s="88" t="str">
        <f t="shared" si="16"/>
        <v/>
      </c>
      <c r="CQ480" s="88" t="str">
        <f t="shared" si="17"/>
        <v/>
      </c>
      <c r="CR480" s="88" t="str">
        <f t="shared" si="18"/>
        <v/>
      </c>
      <c r="CS480" s="88" t="str">
        <f t="shared" si="19"/>
        <v/>
      </c>
      <c r="CT480" s="88" t="str">
        <f t="shared" si="20"/>
        <v/>
      </c>
      <c r="CU480" s="88" t="str">
        <f t="shared" si="21"/>
        <v/>
      </c>
      <c r="CV480" s="88" t="str">
        <f t="shared" si="22"/>
        <v/>
      </c>
      <c r="CW480" s="88" t="str">
        <f t="shared" si="23"/>
        <v/>
      </c>
      <c r="CX480" s="7"/>
      <c r="CY480" s="7"/>
      <c r="CZ480" s="7"/>
      <c r="DA480" s="8"/>
      <c r="DU480" s="93" t="str">
        <f t="shared" si="24"/>
        <v/>
      </c>
      <c r="DV480" s="104" t="str">
        <f>ABA!$A480</f>
        <v/>
      </c>
      <c r="DW480" s="98" t="str">
        <f t="shared" si="25"/>
        <v/>
      </c>
    </row>
    <row r="481" ht="15.75" customHeight="1">
      <c r="A481" s="78"/>
      <c r="B481" s="105"/>
      <c r="C481" s="82"/>
      <c r="D481" s="82"/>
      <c r="E481" s="83"/>
      <c r="F481" s="82"/>
      <c r="G481" s="82"/>
      <c r="H481" s="82"/>
      <c r="I481" s="83"/>
      <c r="J481" s="82"/>
      <c r="K481" s="82"/>
      <c r="L481" s="82"/>
      <c r="M481" s="83"/>
      <c r="N481" s="82"/>
      <c r="O481" s="82"/>
      <c r="P481" s="82"/>
      <c r="Q481" s="83"/>
      <c r="R481" s="82"/>
      <c r="S481" s="82"/>
      <c r="T481" s="82"/>
      <c r="U481" s="83"/>
      <c r="V481" s="82"/>
      <c r="W481" s="82"/>
      <c r="X481" s="82"/>
      <c r="Y481" s="83"/>
      <c r="Z481" s="82"/>
      <c r="AA481" s="82"/>
      <c r="AB481" s="82"/>
      <c r="AC481" s="83"/>
      <c r="AD481" s="82"/>
      <c r="AE481" s="82"/>
      <c r="AF481" s="82"/>
      <c r="AG481" s="83"/>
      <c r="AH481" s="82"/>
      <c r="AI481" s="82"/>
      <c r="AJ481" s="82"/>
      <c r="AK481" s="83"/>
      <c r="AL481" s="82"/>
      <c r="AM481" s="82"/>
      <c r="AN481" s="82"/>
      <c r="AO481" s="82"/>
      <c r="AP481" s="84" t="str">
        <f t="shared" si="2"/>
        <v/>
      </c>
      <c r="AQ481" s="9"/>
      <c r="AR481" s="9"/>
      <c r="AS481" s="8"/>
      <c r="AT481" s="9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8"/>
      <c r="BX481" s="9"/>
      <c r="BY481" s="9"/>
      <c r="BZ481" s="9"/>
      <c r="CA481" s="33"/>
      <c r="CB481" s="85" t="str">
        <f t="shared" si="3"/>
        <v/>
      </c>
      <c r="CC481" s="86" t="str">
        <f t="shared" si="4"/>
        <v/>
      </c>
      <c r="CD481" s="86" t="str">
        <f t="shared" si="5"/>
        <v/>
      </c>
      <c r="CE481" s="86" t="str">
        <f t="shared" si="6"/>
        <v/>
      </c>
      <c r="CF481" s="86" t="str">
        <f t="shared" si="7"/>
        <v/>
      </c>
      <c r="CG481" s="86" t="str">
        <f t="shared" si="8"/>
        <v/>
      </c>
      <c r="CH481" s="86" t="str">
        <f t="shared" si="9"/>
        <v/>
      </c>
      <c r="CI481" s="86" t="str">
        <f t="shared" si="10"/>
        <v/>
      </c>
      <c r="CJ481" s="86" t="str">
        <f t="shared" si="11"/>
        <v/>
      </c>
      <c r="CK481" s="86" t="str">
        <f t="shared" si="12"/>
        <v/>
      </c>
      <c r="CL481" s="86" t="str">
        <f t="shared" si="13"/>
        <v/>
      </c>
      <c r="CM481" s="87" t="str">
        <f t="shared" si="14"/>
        <v/>
      </c>
      <c r="CN481" s="88" t="str">
        <f t="shared" si="26"/>
        <v/>
      </c>
      <c r="CO481" s="88" t="str">
        <f t="shared" si="15"/>
        <v/>
      </c>
      <c r="CP481" s="88" t="str">
        <f t="shared" si="16"/>
        <v/>
      </c>
      <c r="CQ481" s="88" t="str">
        <f t="shared" si="17"/>
        <v/>
      </c>
      <c r="CR481" s="88" t="str">
        <f t="shared" si="18"/>
        <v/>
      </c>
      <c r="CS481" s="88" t="str">
        <f t="shared" si="19"/>
        <v/>
      </c>
      <c r="CT481" s="88" t="str">
        <f t="shared" si="20"/>
        <v/>
      </c>
      <c r="CU481" s="88" t="str">
        <f t="shared" si="21"/>
        <v/>
      </c>
      <c r="CV481" s="88" t="str">
        <f t="shared" si="22"/>
        <v/>
      </c>
      <c r="CW481" s="88" t="str">
        <f t="shared" si="23"/>
        <v/>
      </c>
      <c r="CX481" s="7"/>
      <c r="CY481" s="7"/>
      <c r="CZ481" s="7"/>
      <c r="DA481" s="8"/>
      <c r="DU481" s="104" t="str">
        <f t="shared" si="24"/>
        <v/>
      </c>
      <c r="DV481" s="93" t="str">
        <f>ABA!$A481</f>
        <v/>
      </c>
      <c r="DW481" s="82" t="str">
        <f t="shared" si="25"/>
        <v/>
      </c>
    </row>
    <row r="482" ht="15.75" customHeight="1">
      <c r="A482" s="85"/>
      <c r="B482" s="107"/>
      <c r="C482" s="98"/>
      <c r="D482" s="98"/>
      <c r="E482" s="99"/>
      <c r="F482" s="98"/>
      <c r="G482" s="98"/>
      <c r="H482" s="98"/>
      <c r="I482" s="99"/>
      <c r="J482" s="98"/>
      <c r="K482" s="98"/>
      <c r="L482" s="98"/>
      <c r="M482" s="99"/>
      <c r="N482" s="98"/>
      <c r="O482" s="98"/>
      <c r="P482" s="98"/>
      <c r="Q482" s="99"/>
      <c r="R482" s="98"/>
      <c r="S482" s="98"/>
      <c r="T482" s="98"/>
      <c r="U482" s="99"/>
      <c r="V482" s="98"/>
      <c r="W482" s="98"/>
      <c r="X482" s="98"/>
      <c r="Y482" s="100"/>
      <c r="Z482" s="98"/>
      <c r="AA482" s="98"/>
      <c r="AB482" s="98"/>
      <c r="AC482" s="99"/>
      <c r="AD482" s="98"/>
      <c r="AE482" s="98"/>
      <c r="AF482" s="98"/>
      <c r="AG482" s="99"/>
      <c r="AH482" s="98"/>
      <c r="AI482" s="98"/>
      <c r="AJ482" s="98"/>
      <c r="AK482" s="99"/>
      <c r="AL482" s="98"/>
      <c r="AM482" s="98"/>
      <c r="AN482" s="98"/>
      <c r="AO482" s="98"/>
      <c r="AP482" s="84" t="str">
        <f t="shared" si="2"/>
        <v/>
      </c>
      <c r="AQ482" s="9"/>
      <c r="AR482" s="9"/>
      <c r="AS482" s="8"/>
      <c r="AT482" s="9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8"/>
      <c r="BX482" s="9"/>
      <c r="BY482" s="9"/>
      <c r="BZ482" s="9"/>
      <c r="CA482" s="33"/>
      <c r="CB482" s="85" t="str">
        <f t="shared" si="3"/>
        <v/>
      </c>
      <c r="CC482" s="86" t="str">
        <f t="shared" si="4"/>
        <v/>
      </c>
      <c r="CD482" s="86" t="str">
        <f t="shared" si="5"/>
        <v/>
      </c>
      <c r="CE482" s="86" t="str">
        <f t="shared" si="6"/>
        <v/>
      </c>
      <c r="CF482" s="86" t="str">
        <f t="shared" si="7"/>
        <v/>
      </c>
      <c r="CG482" s="86" t="str">
        <f t="shared" si="8"/>
        <v/>
      </c>
      <c r="CH482" s="86" t="str">
        <f t="shared" si="9"/>
        <v/>
      </c>
      <c r="CI482" s="86" t="str">
        <f t="shared" si="10"/>
        <v/>
      </c>
      <c r="CJ482" s="86" t="str">
        <f t="shared" si="11"/>
        <v/>
      </c>
      <c r="CK482" s="86" t="str">
        <f t="shared" si="12"/>
        <v/>
      </c>
      <c r="CL482" s="86" t="str">
        <f t="shared" si="13"/>
        <v/>
      </c>
      <c r="CM482" s="87" t="str">
        <f t="shared" si="14"/>
        <v/>
      </c>
      <c r="CN482" s="88" t="str">
        <f t="shared" si="26"/>
        <v/>
      </c>
      <c r="CO482" s="88" t="str">
        <f t="shared" si="15"/>
        <v/>
      </c>
      <c r="CP482" s="88" t="str">
        <f t="shared" si="16"/>
        <v/>
      </c>
      <c r="CQ482" s="88" t="str">
        <f t="shared" si="17"/>
        <v/>
      </c>
      <c r="CR482" s="88" t="str">
        <f t="shared" si="18"/>
        <v/>
      </c>
      <c r="CS482" s="88" t="str">
        <f t="shared" si="19"/>
        <v/>
      </c>
      <c r="CT482" s="88" t="str">
        <f t="shared" si="20"/>
        <v/>
      </c>
      <c r="CU482" s="88" t="str">
        <f t="shared" si="21"/>
        <v/>
      </c>
      <c r="CV482" s="88" t="str">
        <f t="shared" si="22"/>
        <v/>
      </c>
      <c r="CW482" s="88" t="str">
        <f t="shared" si="23"/>
        <v/>
      </c>
      <c r="CX482" s="7"/>
      <c r="CY482" s="7"/>
      <c r="CZ482" s="7"/>
      <c r="DA482" s="8"/>
      <c r="DU482" s="93" t="str">
        <f t="shared" si="24"/>
        <v/>
      </c>
      <c r="DV482" s="104" t="str">
        <f>ABA!$A482</f>
        <v/>
      </c>
      <c r="DW482" s="98" t="str">
        <f t="shared" si="25"/>
        <v/>
      </c>
    </row>
    <row r="483" ht="15.75" customHeight="1">
      <c r="A483" s="78"/>
      <c r="B483" s="105"/>
      <c r="C483" s="82"/>
      <c r="D483" s="82"/>
      <c r="E483" s="83"/>
      <c r="F483" s="82"/>
      <c r="G483" s="82"/>
      <c r="H483" s="82"/>
      <c r="I483" s="83"/>
      <c r="J483" s="82"/>
      <c r="K483" s="82"/>
      <c r="L483" s="82"/>
      <c r="M483" s="83"/>
      <c r="N483" s="82"/>
      <c r="O483" s="82"/>
      <c r="P483" s="82"/>
      <c r="Q483" s="83"/>
      <c r="R483" s="82"/>
      <c r="S483" s="82"/>
      <c r="T483" s="82"/>
      <c r="U483" s="83"/>
      <c r="V483" s="82"/>
      <c r="W483" s="82"/>
      <c r="X483" s="82"/>
      <c r="Y483" s="83"/>
      <c r="Z483" s="82"/>
      <c r="AA483" s="82"/>
      <c r="AB483" s="82"/>
      <c r="AC483" s="83"/>
      <c r="AD483" s="82"/>
      <c r="AE483" s="82"/>
      <c r="AF483" s="82"/>
      <c r="AG483" s="83"/>
      <c r="AH483" s="82"/>
      <c r="AI483" s="82"/>
      <c r="AJ483" s="82"/>
      <c r="AK483" s="83"/>
      <c r="AL483" s="82"/>
      <c r="AM483" s="82"/>
      <c r="AN483" s="82"/>
      <c r="AO483" s="82"/>
      <c r="AP483" s="84" t="str">
        <f t="shared" si="2"/>
        <v/>
      </c>
      <c r="AQ483" s="9"/>
      <c r="AR483" s="9"/>
      <c r="AS483" s="8"/>
      <c r="AT483" s="9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8"/>
      <c r="BX483" s="9"/>
      <c r="BY483" s="9"/>
      <c r="BZ483" s="9"/>
      <c r="CA483" s="33"/>
      <c r="CB483" s="85" t="str">
        <f t="shared" si="3"/>
        <v/>
      </c>
      <c r="CC483" s="86" t="str">
        <f t="shared" si="4"/>
        <v/>
      </c>
      <c r="CD483" s="86" t="str">
        <f t="shared" si="5"/>
        <v/>
      </c>
      <c r="CE483" s="86" t="str">
        <f t="shared" si="6"/>
        <v/>
      </c>
      <c r="CF483" s="86" t="str">
        <f t="shared" si="7"/>
        <v/>
      </c>
      <c r="CG483" s="86" t="str">
        <f t="shared" si="8"/>
        <v/>
      </c>
      <c r="CH483" s="86" t="str">
        <f t="shared" si="9"/>
        <v/>
      </c>
      <c r="CI483" s="86" t="str">
        <f t="shared" si="10"/>
        <v/>
      </c>
      <c r="CJ483" s="86" t="str">
        <f t="shared" si="11"/>
        <v/>
      </c>
      <c r="CK483" s="86" t="str">
        <f t="shared" si="12"/>
        <v/>
      </c>
      <c r="CL483" s="86" t="str">
        <f t="shared" si="13"/>
        <v/>
      </c>
      <c r="CM483" s="87" t="str">
        <f t="shared" si="14"/>
        <v/>
      </c>
      <c r="CN483" s="88" t="str">
        <f t="shared" si="26"/>
        <v/>
      </c>
      <c r="CO483" s="88" t="str">
        <f t="shared" si="15"/>
        <v/>
      </c>
      <c r="CP483" s="88" t="str">
        <f t="shared" si="16"/>
        <v/>
      </c>
      <c r="CQ483" s="88" t="str">
        <f t="shared" si="17"/>
        <v/>
      </c>
      <c r="CR483" s="88" t="str">
        <f t="shared" si="18"/>
        <v/>
      </c>
      <c r="CS483" s="88" t="str">
        <f t="shared" si="19"/>
        <v/>
      </c>
      <c r="CT483" s="88" t="str">
        <f t="shared" si="20"/>
        <v/>
      </c>
      <c r="CU483" s="88" t="str">
        <f t="shared" si="21"/>
        <v/>
      </c>
      <c r="CV483" s="88" t="str">
        <f t="shared" si="22"/>
        <v/>
      </c>
      <c r="CW483" s="88" t="str">
        <f t="shared" si="23"/>
        <v/>
      </c>
      <c r="CX483" s="7"/>
      <c r="CY483" s="7"/>
      <c r="CZ483" s="7"/>
      <c r="DA483" s="8"/>
      <c r="DU483" s="104" t="str">
        <f t="shared" si="24"/>
        <v/>
      </c>
      <c r="DV483" s="93" t="str">
        <f>ABA!$A483</f>
        <v/>
      </c>
      <c r="DW483" s="82" t="str">
        <f t="shared" si="25"/>
        <v/>
      </c>
    </row>
    <row r="484" ht="15.75" customHeight="1">
      <c r="A484" s="85"/>
      <c r="B484" s="107"/>
      <c r="C484" s="98"/>
      <c r="D484" s="98"/>
      <c r="E484" s="99"/>
      <c r="F484" s="98"/>
      <c r="G484" s="98"/>
      <c r="H484" s="98"/>
      <c r="I484" s="99"/>
      <c r="J484" s="98"/>
      <c r="K484" s="98"/>
      <c r="L484" s="98"/>
      <c r="M484" s="99"/>
      <c r="N484" s="98"/>
      <c r="O484" s="98"/>
      <c r="P484" s="98"/>
      <c r="Q484" s="99"/>
      <c r="R484" s="98"/>
      <c r="S484" s="98"/>
      <c r="T484" s="98"/>
      <c r="U484" s="99"/>
      <c r="V484" s="98"/>
      <c r="W484" s="98"/>
      <c r="X484" s="98"/>
      <c r="Y484" s="100"/>
      <c r="Z484" s="98"/>
      <c r="AA484" s="98"/>
      <c r="AB484" s="98"/>
      <c r="AC484" s="99"/>
      <c r="AD484" s="98"/>
      <c r="AE484" s="98"/>
      <c r="AF484" s="98"/>
      <c r="AG484" s="99"/>
      <c r="AH484" s="98"/>
      <c r="AI484" s="98"/>
      <c r="AJ484" s="98"/>
      <c r="AK484" s="99"/>
      <c r="AL484" s="98"/>
      <c r="AM484" s="98"/>
      <c r="AN484" s="98"/>
      <c r="AO484" s="98"/>
      <c r="AP484" s="84" t="str">
        <f t="shared" si="2"/>
        <v/>
      </c>
      <c r="AQ484" s="9"/>
      <c r="AR484" s="9"/>
      <c r="AS484" s="8"/>
      <c r="AT484" s="9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8"/>
      <c r="BX484" s="9"/>
      <c r="BY484" s="9"/>
      <c r="BZ484" s="9"/>
      <c r="CA484" s="33"/>
      <c r="CB484" s="85" t="str">
        <f t="shared" si="3"/>
        <v/>
      </c>
      <c r="CC484" s="86" t="str">
        <f t="shared" si="4"/>
        <v/>
      </c>
      <c r="CD484" s="86" t="str">
        <f t="shared" si="5"/>
        <v/>
      </c>
      <c r="CE484" s="86" t="str">
        <f t="shared" si="6"/>
        <v/>
      </c>
      <c r="CF484" s="86" t="str">
        <f t="shared" si="7"/>
        <v/>
      </c>
      <c r="CG484" s="86" t="str">
        <f t="shared" si="8"/>
        <v/>
      </c>
      <c r="CH484" s="86" t="str">
        <f t="shared" si="9"/>
        <v/>
      </c>
      <c r="CI484" s="86" t="str">
        <f t="shared" si="10"/>
        <v/>
      </c>
      <c r="CJ484" s="86" t="str">
        <f t="shared" si="11"/>
        <v/>
      </c>
      <c r="CK484" s="86" t="str">
        <f t="shared" si="12"/>
        <v/>
      </c>
      <c r="CL484" s="86" t="str">
        <f t="shared" si="13"/>
        <v/>
      </c>
      <c r="CM484" s="87" t="str">
        <f t="shared" si="14"/>
        <v/>
      </c>
      <c r="CN484" s="88" t="str">
        <f t="shared" si="26"/>
        <v/>
      </c>
      <c r="CO484" s="88" t="str">
        <f t="shared" si="15"/>
        <v/>
      </c>
      <c r="CP484" s="88" t="str">
        <f t="shared" si="16"/>
        <v/>
      </c>
      <c r="CQ484" s="88" t="str">
        <f t="shared" si="17"/>
        <v/>
      </c>
      <c r="CR484" s="88" t="str">
        <f t="shared" si="18"/>
        <v/>
      </c>
      <c r="CS484" s="88" t="str">
        <f t="shared" si="19"/>
        <v/>
      </c>
      <c r="CT484" s="88" t="str">
        <f t="shared" si="20"/>
        <v/>
      </c>
      <c r="CU484" s="88" t="str">
        <f t="shared" si="21"/>
        <v/>
      </c>
      <c r="CV484" s="88" t="str">
        <f t="shared" si="22"/>
        <v/>
      </c>
      <c r="CW484" s="88" t="str">
        <f t="shared" si="23"/>
        <v/>
      </c>
      <c r="CX484" s="7"/>
      <c r="CY484" s="7"/>
      <c r="CZ484" s="7"/>
      <c r="DA484" s="8"/>
      <c r="DU484" s="93" t="str">
        <f t="shared" si="24"/>
        <v/>
      </c>
      <c r="DV484" s="104" t="str">
        <f>ABA!$A484</f>
        <v/>
      </c>
      <c r="DW484" s="98" t="str">
        <f t="shared" si="25"/>
        <v/>
      </c>
    </row>
    <row r="485" ht="15.75" customHeight="1">
      <c r="A485" s="78"/>
      <c r="B485" s="105"/>
      <c r="C485" s="82"/>
      <c r="D485" s="82"/>
      <c r="E485" s="83"/>
      <c r="F485" s="82"/>
      <c r="G485" s="82"/>
      <c r="H485" s="82"/>
      <c r="I485" s="83"/>
      <c r="J485" s="82"/>
      <c r="K485" s="82"/>
      <c r="L485" s="82"/>
      <c r="M485" s="83"/>
      <c r="N485" s="82"/>
      <c r="O485" s="82"/>
      <c r="P485" s="82"/>
      <c r="Q485" s="83"/>
      <c r="R485" s="82"/>
      <c r="S485" s="82"/>
      <c r="T485" s="82"/>
      <c r="U485" s="83"/>
      <c r="V485" s="82"/>
      <c r="W485" s="82"/>
      <c r="X485" s="82"/>
      <c r="Y485" s="83"/>
      <c r="Z485" s="82"/>
      <c r="AA485" s="82"/>
      <c r="AB485" s="82"/>
      <c r="AC485" s="83"/>
      <c r="AD485" s="82"/>
      <c r="AE485" s="82"/>
      <c r="AF485" s="82"/>
      <c r="AG485" s="83"/>
      <c r="AH485" s="82"/>
      <c r="AI485" s="82"/>
      <c r="AJ485" s="82"/>
      <c r="AK485" s="83"/>
      <c r="AL485" s="82"/>
      <c r="AM485" s="82"/>
      <c r="AN485" s="82"/>
      <c r="AO485" s="82"/>
      <c r="AP485" s="84" t="str">
        <f t="shared" si="2"/>
        <v/>
      </c>
      <c r="AQ485" s="9"/>
      <c r="AR485" s="9"/>
      <c r="AS485" s="8"/>
      <c r="AT485" s="9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8"/>
      <c r="BX485" s="9"/>
      <c r="BY485" s="9"/>
      <c r="BZ485" s="9"/>
      <c r="CA485" s="33"/>
      <c r="CB485" s="85" t="str">
        <f t="shared" si="3"/>
        <v/>
      </c>
      <c r="CC485" s="86" t="str">
        <f t="shared" si="4"/>
        <v/>
      </c>
      <c r="CD485" s="86" t="str">
        <f t="shared" si="5"/>
        <v/>
      </c>
      <c r="CE485" s="86" t="str">
        <f t="shared" si="6"/>
        <v/>
      </c>
      <c r="CF485" s="86" t="str">
        <f t="shared" si="7"/>
        <v/>
      </c>
      <c r="CG485" s="86" t="str">
        <f t="shared" si="8"/>
        <v/>
      </c>
      <c r="CH485" s="86" t="str">
        <f t="shared" si="9"/>
        <v/>
      </c>
      <c r="CI485" s="86" t="str">
        <f t="shared" si="10"/>
        <v/>
      </c>
      <c r="CJ485" s="86" t="str">
        <f t="shared" si="11"/>
        <v/>
      </c>
      <c r="CK485" s="86" t="str">
        <f t="shared" si="12"/>
        <v/>
      </c>
      <c r="CL485" s="86" t="str">
        <f t="shared" si="13"/>
        <v/>
      </c>
      <c r="CM485" s="87" t="str">
        <f t="shared" si="14"/>
        <v/>
      </c>
      <c r="CN485" s="88" t="str">
        <f t="shared" si="26"/>
        <v/>
      </c>
      <c r="CO485" s="88" t="str">
        <f t="shared" si="15"/>
        <v/>
      </c>
      <c r="CP485" s="88" t="str">
        <f t="shared" si="16"/>
        <v/>
      </c>
      <c r="CQ485" s="88" t="str">
        <f t="shared" si="17"/>
        <v/>
      </c>
      <c r="CR485" s="88" t="str">
        <f t="shared" si="18"/>
        <v/>
      </c>
      <c r="CS485" s="88" t="str">
        <f t="shared" si="19"/>
        <v/>
      </c>
      <c r="CT485" s="88" t="str">
        <f t="shared" si="20"/>
        <v/>
      </c>
      <c r="CU485" s="88" t="str">
        <f t="shared" si="21"/>
        <v/>
      </c>
      <c r="CV485" s="88" t="str">
        <f t="shared" si="22"/>
        <v/>
      </c>
      <c r="CW485" s="88" t="str">
        <f t="shared" si="23"/>
        <v/>
      </c>
      <c r="CX485" s="7"/>
      <c r="CY485" s="7"/>
      <c r="CZ485" s="7"/>
      <c r="DA485" s="8"/>
      <c r="DU485" s="104" t="str">
        <f t="shared" si="24"/>
        <v/>
      </c>
      <c r="DV485" s="93" t="str">
        <f>ABA!$A485</f>
        <v/>
      </c>
      <c r="DW485" s="82" t="str">
        <f t="shared" si="25"/>
        <v/>
      </c>
    </row>
    <row r="486" ht="15.75" customHeight="1">
      <c r="A486" s="85"/>
      <c r="B486" s="107"/>
      <c r="C486" s="98"/>
      <c r="D486" s="98"/>
      <c r="E486" s="99"/>
      <c r="F486" s="98"/>
      <c r="G486" s="98"/>
      <c r="H486" s="98"/>
      <c r="I486" s="99"/>
      <c r="J486" s="98"/>
      <c r="K486" s="98"/>
      <c r="L486" s="98"/>
      <c r="M486" s="99"/>
      <c r="N486" s="98"/>
      <c r="O486" s="98"/>
      <c r="P486" s="98"/>
      <c r="Q486" s="99"/>
      <c r="R486" s="98"/>
      <c r="S486" s="98"/>
      <c r="T486" s="98"/>
      <c r="U486" s="99"/>
      <c r="V486" s="98"/>
      <c r="W486" s="98"/>
      <c r="X486" s="98"/>
      <c r="Y486" s="100"/>
      <c r="Z486" s="98"/>
      <c r="AA486" s="98"/>
      <c r="AB486" s="98"/>
      <c r="AC486" s="99"/>
      <c r="AD486" s="98"/>
      <c r="AE486" s="98"/>
      <c r="AF486" s="98"/>
      <c r="AG486" s="99"/>
      <c r="AH486" s="98"/>
      <c r="AI486" s="98"/>
      <c r="AJ486" s="98"/>
      <c r="AK486" s="99"/>
      <c r="AL486" s="98"/>
      <c r="AM486" s="98"/>
      <c r="AN486" s="98"/>
      <c r="AO486" s="98"/>
      <c r="AP486" s="84" t="str">
        <f t="shared" si="2"/>
        <v/>
      </c>
      <c r="AQ486" s="9"/>
      <c r="AR486" s="9"/>
      <c r="AS486" s="8"/>
      <c r="AT486" s="9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8"/>
      <c r="BX486" s="9"/>
      <c r="BY486" s="9"/>
      <c r="BZ486" s="9"/>
      <c r="CA486" s="33"/>
      <c r="CB486" s="85" t="str">
        <f t="shared" si="3"/>
        <v/>
      </c>
      <c r="CC486" s="86" t="str">
        <f t="shared" si="4"/>
        <v/>
      </c>
      <c r="CD486" s="86" t="str">
        <f t="shared" si="5"/>
        <v/>
      </c>
      <c r="CE486" s="86" t="str">
        <f t="shared" si="6"/>
        <v/>
      </c>
      <c r="CF486" s="86" t="str">
        <f t="shared" si="7"/>
        <v/>
      </c>
      <c r="CG486" s="86" t="str">
        <f t="shared" si="8"/>
        <v/>
      </c>
      <c r="CH486" s="86" t="str">
        <f t="shared" si="9"/>
        <v/>
      </c>
      <c r="CI486" s="86" t="str">
        <f t="shared" si="10"/>
        <v/>
      </c>
      <c r="CJ486" s="86" t="str">
        <f t="shared" si="11"/>
        <v/>
      </c>
      <c r="CK486" s="86" t="str">
        <f t="shared" si="12"/>
        <v/>
      </c>
      <c r="CL486" s="86" t="str">
        <f t="shared" si="13"/>
        <v/>
      </c>
      <c r="CM486" s="87" t="str">
        <f t="shared" si="14"/>
        <v/>
      </c>
      <c r="CN486" s="88" t="str">
        <f t="shared" si="26"/>
        <v/>
      </c>
      <c r="CO486" s="88" t="str">
        <f t="shared" si="15"/>
        <v/>
      </c>
      <c r="CP486" s="88" t="str">
        <f t="shared" si="16"/>
        <v/>
      </c>
      <c r="CQ486" s="88" t="str">
        <f t="shared" si="17"/>
        <v/>
      </c>
      <c r="CR486" s="88" t="str">
        <f t="shared" si="18"/>
        <v/>
      </c>
      <c r="CS486" s="88" t="str">
        <f t="shared" si="19"/>
        <v/>
      </c>
      <c r="CT486" s="88" t="str">
        <f t="shared" si="20"/>
        <v/>
      </c>
      <c r="CU486" s="88" t="str">
        <f t="shared" si="21"/>
        <v/>
      </c>
      <c r="CV486" s="88" t="str">
        <f t="shared" si="22"/>
        <v/>
      </c>
      <c r="CW486" s="88" t="str">
        <f t="shared" si="23"/>
        <v/>
      </c>
      <c r="CX486" s="7"/>
      <c r="CY486" s="7"/>
      <c r="CZ486" s="7"/>
      <c r="DA486" s="8"/>
      <c r="DU486" s="93" t="str">
        <f t="shared" si="24"/>
        <v/>
      </c>
      <c r="DV486" s="104" t="str">
        <f>ABA!$A486</f>
        <v/>
      </c>
      <c r="DW486" s="98" t="str">
        <f t="shared" si="25"/>
        <v/>
      </c>
    </row>
    <row r="487" ht="15.75" customHeight="1">
      <c r="A487" s="78"/>
      <c r="B487" s="105"/>
      <c r="C487" s="82"/>
      <c r="D487" s="82"/>
      <c r="E487" s="83"/>
      <c r="F487" s="82"/>
      <c r="G487" s="82"/>
      <c r="H487" s="82"/>
      <c r="I487" s="83"/>
      <c r="J487" s="82"/>
      <c r="K487" s="82"/>
      <c r="L487" s="82"/>
      <c r="M487" s="83"/>
      <c r="N487" s="82"/>
      <c r="O487" s="82"/>
      <c r="P487" s="82"/>
      <c r="Q487" s="83"/>
      <c r="R487" s="82"/>
      <c r="S487" s="82"/>
      <c r="T487" s="82"/>
      <c r="U487" s="83"/>
      <c r="V487" s="82"/>
      <c r="W487" s="82"/>
      <c r="X487" s="82"/>
      <c r="Y487" s="83"/>
      <c r="Z487" s="82"/>
      <c r="AA487" s="82"/>
      <c r="AB487" s="82"/>
      <c r="AC487" s="83"/>
      <c r="AD487" s="82"/>
      <c r="AE487" s="82"/>
      <c r="AF487" s="82"/>
      <c r="AG487" s="83"/>
      <c r="AH487" s="82"/>
      <c r="AI487" s="82"/>
      <c r="AJ487" s="82"/>
      <c r="AK487" s="83"/>
      <c r="AL487" s="82"/>
      <c r="AM487" s="82"/>
      <c r="AN487" s="82"/>
      <c r="AO487" s="82"/>
      <c r="AP487" s="84" t="str">
        <f t="shared" si="2"/>
        <v/>
      </c>
      <c r="AQ487" s="9"/>
      <c r="AR487" s="9"/>
      <c r="AS487" s="8"/>
      <c r="AT487" s="9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8"/>
      <c r="BX487" s="9"/>
      <c r="BY487" s="9"/>
      <c r="BZ487" s="9"/>
      <c r="CA487" s="33"/>
      <c r="CB487" s="85" t="str">
        <f t="shared" si="3"/>
        <v/>
      </c>
      <c r="CC487" s="86" t="str">
        <f t="shared" si="4"/>
        <v/>
      </c>
      <c r="CD487" s="86" t="str">
        <f t="shared" si="5"/>
        <v/>
      </c>
      <c r="CE487" s="86" t="str">
        <f t="shared" si="6"/>
        <v/>
      </c>
      <c r="CF487" s="86" t="str">
        <f t="shared" si="7"/>
        <v/>
      </c>
      <c r="CG487" s="86" t="str">
        <f t="shared" si="8"/>
        <v/>
      </c>
      <c r="CH487" s="86" t="str">
        <f t="shared" si="9"/>
        <v/>
      </c>
      <c r="CI487" s="86" t="str">
        <f t="shared" si="10"/>
        <v/>
      </c>
      <c r="CJ487" s="86" t="str">
        <f t="shared" si="11"/>
        <v/>
      </c>
      <c r="CK487" s="86" t="str">
        <f t="shared" si="12"/>
        <v/>
      </c>
      <c r="CL487" s="86" t="str">
        <f t="shared" si="13"/>
        <v/>
      </c>
      <c r="CM487" s="87" t="str">
        <f t="shared" si="14"/>
        <v/>
      </c>
      <c r="CN487" s="88" t="str">
        <f t="shared" si="26"/>
        <v/>
      </c>
      <c r="CO487" s="88" t="str">
        <f t="shared" si="15"/>
        <v/>
      </c>
      <c r="CP487" s="88" t="str">
        <f t="shared" si="16"/>
        <v/>
      </c>
      <c r="CQ487" s="88" t="str">
        <f t="shared" si="17"/>
        <v/>
      </c>
      <c r="CR487" s="88" t="str">
        <f t="shared" si="18"/>
        <v/>
      </c>
      <c r="CS487" s="88" t="str">
        <f t="shared" si="19"/>
        <v/>
      </c>
      <c r="CT487" s="88" t="str">
        <f t="shared" si="20"/>
        <v/>
      </c>
      <c r="CU487" s="88" t="str">
        <f t="shared" si="21"/>
        <v/>
      </c>
      <c r="CV487" s="88" t="str">
        <f t="shared" si="22"/>
        <v/>
      </c>
      <c r="CW487" s="88" t="str">
        <f t="shared" si="23"/>
        <v/>
      </c>
      <c r="CX487" s="7"/>
      <c r="CY487" s="7"/>
      <c r="CZ487" s="7"/>
      <c r="DA487" s="8"/>
      <c r="DU487" s="104" t="str">
        <f t="shared" si="24"/>
        <v/>
      </c>
      <c r="DV487" s="93" t="str">
        <f>ABA!$A487</f>
        <v/>
      </c>
      <c r="DW487" s="82" t="str">
        <f t="shared" si="25"/>
        <v/>
      </c>
    </row>
    <row r="488" ht="15.75" customHeight="1">
      <c r="A488" s="85"/>
      <c r="B488" s="107"/>
      <c r="C488" s="98"/>
      <c r="D488" s="98"/>
      <c r="E488" s="99"/>
      <c r="F488" s="98"/>
      <c r="G488" s="98"/>
      <c r="H488" s="98"/>
      <c r="I488" s="99"/>
      <c r="J488" s="98"/>
      <c r="K488" s="98"/>
      <c r="L488" s="98"/>
      <c r="M488" s="99"/>
      <c r="N488" s="98"/>
      <c r="O488" s="98"/>
      <c r="P488" s="98"/>
      <c r="Q488" s="99"/>
      <c r="R488" s="98"/>
      <c r="S488" s="98"/>
      <c r="T488" s="98"/>
      <c r="U488" s="99"/>
      <c r="V488" s="98"/>
      <c r="W488" s="98"/>
      <c r="X488" s="98"/>
      <c r="Y488" s="100"/>
      <c r="Z488" s="98"/>
      <c r="AA488" s="98"/>
      <c r="AB488" s="98"/>
      <c r="AC488" s="99"/>
      <c r="AD488" s="98"/>
      <c r="AE488" s="98"/>
      <c r="AF488" s="98"/>
      <c r="AG488" s="99"/>
      <c r="AH488" s="98"/>
      <c r="AI488" s="98"/>
      <c r="AJ488" s="98"/>
      <c r="AK488" s="99"/>
      <c r="AL488" s="98"/>
      <c r="AM488" s="98"/>
      <c r="AN488" s="98"/>
      <c r="AO488" s="98"/>
      <c r="AP488" s="84" t="str">
        <f t="shared" si="2"/>
        <v/>
      </c>
      <c r="AQ488" s="9"/>
      <c r="AR488" s="9"/>
      <c r="AS488" s="8"/>
      <c r="AT488" s="9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8"/>
      <c r="BX488" s="9"/>
      <c r="BY488" s="9"/>
      <c r="BZ488" s="9"/>
      <c r="CA488" s="33"/>
      <c r="CB488" s="85" t="str">
        <f t="shared" si="3"/>
        <v/>
      </c>
      <c r="CC488" s="86" t="str">
        <f t="shared" si="4"/>
        <v/>
      </c>
      <c r="CD488" s="86" t="str">
        <f t="shared" si="5"/>
        <v/>
      </c>
      <c r="CE488" s="86" t="str">
        <f t="shared" si="6"/>
        <v/>
      </c>
      <c r="CF488" s="86" t="str">
        <f t="shared" si="7"/>
        <v/>
      </c>
      <c r="CG488" s="86" t="str">
        <f t="shared" si="8"/>
        <v/>
      </c>
      <c r="CH488" s="86" t="str">
        <f t="shared" si="9"/>
        <v/>
      </c>
      <c r="CI488" s="86" t="str">
        <f t="shared" si="10"/>
        <v/>
      </c>
      <c r="CJ488" s="86" t="str">
        <f t="shared" si="11"/>
        <v/>
      </c>
      <c r="CK488" s="86" t="str">
        <f t="shared" si="12"/>
        <v/>
      </c>
      <c r="CL488" s="86" t="str">
        <f t="shared" si="13"/>
        <v/>
      </c>
      <c r="CM488" s="87" t="str">
        <f t="shared" si="14"/>
        <v/>
      </c>
      <c r="CN488" s="88" t="str">
        <f t="shared" si="26"/>
        <v/>
      </c>
      <c r="CO488" s="88" t="str">
        <f t="shared" si="15"/>
        <v/>
      </c>
      <c r="CP488" s="88" t="str">
        <f t="shared" si="16"/>
        <v/>
      </c>
      <c r="CQ488" s="88" t="str">
        <f t="shared" si="17"/>
        <v/>
      </c>
      <c r="CR488" s="88" t="str">
        <f t="shared" si="18"/>
        <v/>
      </c>
      <c r="CS488" s="88" t="str">
        <f t="shared" si="19"/>
        <v/>
      </c>
      <c r="CT488" s="88" t="str">
        <f t="shared" si="20"/>
        <v/>
      </c>
      <c r="CU488" s="88" t="str">
        <f t="shared" si="21"/>
        <v/>
      </c>
      <c r="CV488" s="88" t="str">
        <f t="shared" si="22"/>
        <v/>
      </c>
      <c r="CW488" s="88" t="str">
        <f t="shared" si="23"/>
        <v/>
      </c>
      <c r="CX488" s="7"/>
      <c r="CY488" s="7"/>
      <c r="CZ488" s="7"/>
      <c r="DA488" s="8"/>
      <c r="DU488" s="93" t="str">
        <f t="shared" si="24"/>
        <v/>
      </c>
      <c r="DV488" s="104" t="str">
        <f>ABA!$A488</f>
        <v/>
      </c>
      <c r="DW488" s="98" t="str">
        <f t="shared" si="25"/>
        <v/>
      </c>
    </row>
    <row r="489" ht="15.75" customHeight="1">
      <c r="A489" s="78"/>
      <c r="B489" s="105"/>
      <c r="C489" s="82"/>
      <c r="D489" s="82"/>
      <c r="E489" s="83"/>
      <c r="F489" s="82"/>
      <c r="G489" s="82"/>
      <c r="H489" s="82"/>
      <c r="I489" s="83"/>
      <c r="J489" s="82"/>
      <c r="K489" s="82"/>
      <c r="L489" s="82"/>
      <c r="M489" s="83"/>
      <c r="N489" s="82"/>
      <c r="O489" s="82"/>
      <c r="P489" s="82"/>
      <c r="Q489" s="83"/>
      <c r="R489" s="82"/>
      <c r="S489" s="82"/>
      <c r="T489" s="82"/>
      <c r="U489" s="83"/>
      <c r="V489" s="82"/>
      <c r="W489" s="82"/>
      <c r="X489" s="82"/>
      <c r="Y489" s="83"/>
      <c r="Z489" s="82"/>
      <c r="AA489" s="82"/>
      <c r="AB489" s="82"/>
      <c r="AC489" s="83"/>
      <c r="AD489" s="82"/>
      <c r="AE489" s="82"/>
      <c r="AF489" s="82"/>
      <c r="AG489" s="83"/>
      <c r="AH489" s="82"/>
      <c r="AI489" s="82"/>
      <c r="AJ489" s="82"/>
      <c r="AK489" s="83"/>
      <c r="AL489" s="82"/>
      <c r="AM489" s="82"/>
      <c r="AN489" s="82"/>
      <c r="AO489" s="82"/>
      <c r="AP489" s="84" t="str">
        <f t="shared" si="2"/>
        <v/>
      </c>
      <c r="AQ489" s="9"/>
      <c r="AR489" s="9"/>
      <c r="AS489" s="8"/>
      <c r="AT489" s="9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8"/>
      <c r="BX489" s="9"/>
      <c r="BY489" s="9"/>
      <c r="BZ489" s="9"/>
      <c r="CA489" s="33"/>
      <c r="CB489" s="85" t="str">
        <f t="shared" si="3"/>
        <v/>
      </c>
      <c r="CC489" s="86" t="str">
        <f t="shared" si="4"/>
        <v/>
      </c>
      <c r="CD489" s="86" t="str">
        <f t="shared" si="5"/>
        <v/>
      </c>
      <c r="CE489" s="86" t="str">
        <f t="shared" si="6"/>
        <v/>
      </c>
      <c r="CF489" s="86" t="str">
        <f t="shared" si="7"/>
        <v/>
      </c>
      <c r="CG489" s="86" t="str">
        <f t="shared" si="8"/>
        <v/>
      </c>
      <c r="CH489" s="86" t="str">
        <f t="shared" si="9"/>
        <v/>
      </c>
      <c r="CI489" s="86" t="str">
        <f t="shared" si="10"/>
        <v/>
      </c>
      <c r="CJ489" s="86" t="str">
        <f t="shared" si="11"/>
        <v/>
      </c>
      <c r="CK489" s="86" t="str">
        <f t="shared" si="12"/>
        <v/>
      </c>
      <c r="CL489" s="86" t="str">
        <f t="shared" si="13"/>
        <v/>
      </c>
      <c r="CM489" s="87" t="str">
        <f t="shared" si="14"/>
        <v/>
      </c>
      <c r="CN489" s="88" t="str">
        <f t="shared" si="26"/>
        <v/>
      </c>
      <c r="CO489" s="88" t="str">
        <f t="shared" si="15"/>
        <v/>
      </c>
      <c r="CP489" s="88" t="str">
        <f t="shared" si="16"/>
        <v/>
      </c>
      <c r="CQ489" s="88" t="str">
        <f t="shared" si="17"/>
        <v/>
      </c>
      <c r="CR489" s="88" t="str">
        <f t="shared" si="18"/>
        <v/>
      </c>
      <c r="CS489" s="88" t="str">
        <f t="shared" si="19"/>
        <v/>
      </c>
      <c r="CT489" s="88" t="str">
        <f t="shared" si="20"/>
        <v/>
      </c>
      <c r="CU489" s="88" t="str">
        <f t="shared" si="21"/>
        <v/>
      </c>
      <c r="CV489" s="88" t="str">
        <f t="shared" si="22"/>
        <v/>
      </c>
      <c r="CW489" s="88" t="str">
        <f t="shared" si="23"/>
        <v/>
      </c>
      <c r="CX489" s="7"/>
      <c r="CY489" s="7"/>
      <c r="CZ489" s="7"/>
      <c r="DA489" s="8"/>
      <c r="DU489" s="104" t="str">
        <f t="shared" si="24"/>
        <v/>
      </c>
      <c r="DV489" s="93" t="str">
        <f>ABA!$A489</f>
        <v/>
      </c>
      <c r="DW489" s="82" t="str">
        <f t="shared" si="25"/>
        <v/>
      </c>
    </row>
    <row r="490" ht="15.75" customHeight="1">
      <c r="A490" s="85"/>
      <c r="B490" s="107"/>
      <c r="C490" s="98"/>
      <c r="D490" s="98"/>
      <c r="E490" s="99"/>
      <c r="F490" s="98"/>
      <c r="G490" s="98"/>
      <c r="H490" s="98"/>
      <c r="I490" s="99"/>
      <c r="J490" s="98"/>
      <c r="K490" s="98"/>
      <c r="L490" s="98"/>
      <c r="M490" s="99"/>
      <c r="N490" s="98"/>
      <c r="O490" s="98"/>
      <c r="P490" s="98"/>
      <c r="Q490" s="99"/>
      <c r="R490" s="98"/>
      <c r="S490" s="98"/>
      <c r="T490" s="98"/>
      <c r="U490" s="99"/>
      <c r="V490" s="98"/>
      <c r="W490" s="98"/>
      <c r="X490" s="98"/>
      <c r="Y490" s="100"/>
      <c r="Z490" s="98"/>
      <c r="AA490" s="98"/>
      <c r="AB490" s="98"/>
      <c r="AC490" s="99"/>
      <c r="AD490" s="98"/>
      <c r="AE490" s="98"/>
      <c r="AF490" s="98"/>
      <c r="AG490" s="99"/>
      <c r="AH490" s="98"/>
      <c r="AI490" s="98"/>
      <c r="AJ490" s="98"/>
      <c r="AK490" s="99"/>
      <c r="AL490" s="98"/>
      <c r="AM490" s="98"/>
      <c r="AN490" s="98"/>
      <c r="AO490" s="98"/>
      <c r="AP490" s="84" t="str">
        <f t="shared" si="2"/>
        <v/>
      </c>
      <c r="AQ490" s="9"/>
      <c r="AR490" s="9"/>
      <c r="AS490" s="8"/>
      <c r="AT490" s="9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8"/>
      <c r="BX490" s="9"/>
      <c r="BY490" s="9"/>
      <c r="BZ490" s="9"/>
      <c r="CA490" s="33"/>
      <c r="CB490" s="85" t="str">
        <f t="shared" si="3"/>
        <v/>
      </c>
      <c r="CC490" s="86" t="str">
        <f t="shared" si="4"/>
        <v/>
      </c>
      <c r="CD490" s="86" t="str">
        <f t="shared" si="5"/>
        <v/>
      </c>
      <c r="CE490" s="86" t="str">
        <f t="shared" si="6"/>
        <v/>
      </c>
      <c r="CF490" s="86" t="str">
        <f t="shared" si="7"/>
        <v/>
      </c>
      <c r="CG490" s="86" t="str">
        <f t="shared" si="8"/>
        <v/>
      </c>
      <c r="CH490" s="86" t="str">
        <f t="shared" si="9"/>
        <v/>
      </c>
      <c r="CI490" s="86" t="str">
        <f t="shared" si="10"/>
        <v/>
      </c>
      <c r="CJ490" s="86" t="str">
        <f t="shared" si="11"/>
        <v/>
      </c>
      <c r="CK490" s="86" t="str">
        <f t="shared" si="12"/>
        <v/>
      </c>
      <c r="CL490" s="86" t="str">
        <f t="shared" si="13"/>
        <v/>
      </c>
      <c r="CM490" s="87" t="str">
        <f t="shared" si="14"/>
        <v/>
      </c>
      <c r="CN490" s="88" t="str">
        <f t="shared" si="26"/>
        <v/>
      </c>
      <c r="CO490" s="88" t="str">
        <f t="shared" si="15"/>
        <v/>
      </c>
      <c r="CP490" s="88" t="str">
        <f t="shared" si="16"/>
        <v/>
      </c>
      <c r="CQ490" s="88" t="str">
        <f t="shared" si="17"/>
        <v/>
      </c>
      <c r="CR490" s="88" t="str">
        <f t="shared" si="18"/>
        <v/>
      </c>
      <c r="CS490" s="88" t="str">
        <f t="shared" si="19"/>
        <v/>
      </c>
      <c r="CT490" s="88" t="str">
        <f t="shared" si="20"/>
        <v/>
      </c>
      <c r="CU490" s="88" t="str">
        <f t="shared" si="21"/>
        <v/>
      </c>
      <c r="CV490" s="88" t="str">
        <f t="shared" si="22"/>
        <v/>
      </c>
      <c r="CW490" s="88" t="str">
        <f t="shared" si="23"/>
        <v/>
      </c>
      <c r="CX490" s="7"/>
      <c r="CY490" s="7"/>
      <c r="CZ490" s="7"/>
      <c r="DA490" s="8"/>
      <c r="DU490" s="93" t="str">
        <f t="shared" si="24"/>
        <v/>
      </c>
      <c r="DV490" s="104" t="str">
        <f>ABA!$A490</f>
        <v/>
      </c>
      <c r="DW490" s="98" t="str">
        <f t="shared" si="25"/>
        <v/>
      </c>
    </row>
    <row r="491" ht="15.75" customHeight="1">
      <c r="A491" s="78"/>
      <c r="B491" s="105"/>
      <c r="C491" s="82"/>
      <c r="D491" s="82"/>
      <c r="E491" s="83"/>
      <c r="F491" s="82"/>
      <c r="G491" s="82"/>
      <c r="H491" s="82"/>
      <c r="I491" s="83"/>
      <c r="J491" s="82"/>
      <c r="K491" s="82"/>
      <c r="L491" s="82"/>
      <c r="M491" s="83"/>
      <c r="N491" s="82"/>
      <c r="O491" s="82"/>
      <c r="P491" s="82"/>
      <c r="Q491" s="83"/>
      <c r="R491" s="82"/>
      <c r="S491" s="82"/>
      <c r="T491" s="82"/>
      <c r="U491" s="83"/>
      <c r="V491" s="82"/>
      <c r="W491" s="82"/>
      <c r="X491" s="82"/>
      <c r="Y491" s="83"/>
      <c r="Z491" s="82"/>
      <c r="AA491" s="82"/>
      <c r="AB491" s="82"/>
      <c r="AC491" s="83"/>
      <c r="AD491" s="82"/>
      <c r="AE491" s="82"/>
      <c r="AF491" s="82"/>
      <c r="AG491" s="83"/>
      <c r="AH491" s="82"/>
      <c r="AI491" s="82"/>
      <c r="AJ491" s="82"/>
      <c r="AK491" s="83"/>
      <c r="AL491" s="82"/>
      <c r="AM491" s="82"/>
      <c r="AN491" s="82"/>
      <c r="AO491" s="82"/>
      <c r="AP491" s="84" t="str">
        <f t="shared" si="2"/>
        <v/>
      </c>
      <c r="AQ491" s="9"/>
      <c r="AR491" s="9"/>
      <c r="AS491" s="8"/>
      <c r="AT491" s="9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8"/>
      <c r="BX491" s="9"/>
      <c r="BY491" s="9"/>
      <c r="BZ491" s="9"/>
      <c r="CA491" s="33"/>
      <c r="CB491" s="85" t="str">
        <f t="shared" si="3"/>
        <v/>
      </c>
      <c r="CC491" s="86" t="str">
        <f t="shared" si="4"/>
        <v/>
      </c>
      <c r="CD491" s="86" t="str">
        <f t="shared" si="5"/>
        <v/>
      </c>
      <c r="CE491" s="86" t="str">
        <f t="shared" si="6"/>
        <v/>
      </c>
      <c r="CF491" s="86" t="str">
        <f t="shared" si="7"/>
        <v/>
      </c>
      <c r="CG491" s="86" t="str">
        <f t="shared" si="8"/>
        <v/>
      </c>
      <c r="CH491" s="86" t="str">
        <f t="shared" si="9"/>
        <v/>
      </c>
      <c r="CI491" s="86" t="str">
        <f t="shared" si="10"/>
        <v/>
      </c>
      <c r="CJ491" s="86" t="str">
        <f t="shared" si="11"/>
        <v/>
      </c>
      <c r="CK491" s="86" t="str">
        <f t="shared" si="12"/>
        <v/>
      </c>
      <c r="CL491" s="86" t="str">
        <f t="shared" si="13"/>
        <v/>
      </c>
      <c r="CM491" s="87" t="str">
        <f t="shared" si="14"/>
        <v/>
      </c>
      <c r="CN491" s="88" t="str">
        <f t="shared" si="26"/>
        <v/>
      </c>
      <c r="CO491" s="88" t="str">
        <f t="shared" si="15"/>
        <v/>
      </c>
      <c r="CP491" s="88" t="str">
        <f t="shared" si="16"/>
        <v/>
      </c>
      <c r="CQ491" s="88" t="str">
        <f t="shared" si="17"/>
        <v/>
      </c>
      <c r="CR491" s="88" t="str">
        <f t="shared" si="18"/>
        <v/>
      </c>
      <c r="CS491" s="88" t="str">
        <f t="shared" si="19"/>
        <v/>
      </c>
      <c r="CT491" s="88" t="str">
        <f t="shared" si="20"/>
        <v/>
      </c>
      <c r="CU491" s="88" t="str">
        <f t="shared" si="21"/>
        <v/>
      </c>
      <c r="CV491" s="88" t="str">
        <f t="shared" si="22"/>
        <v/>
      </c>
      <c r="CW491" s="88" t="str">
        <f t="shared" si="23"/>
        <v/>
      </c>
      <c r="CX491" s="7"/>
      <c r="CY491" s="7"/>
      <c r="CZ491" s="7"/>
      <c r="DA491" s="8"/>
      <c r="DU491" s="104" t="str">
        <f t="shared" si="24"/>
        <v/>
      </c>
      <c r="DV491" s="93" t="str">
        <f>ABA!$A491</f>
        <v/>
      </c>
      <c r="DW491" s="82" t="str">
        <f t="shared" si="25"/>
        <v/>
      </c>
    </row>
    <row r="492" ht="15.75" customHeight="1">
      <c r="A492" s="85"/>
      <c r="B492" s="107"/>
      <c r="C492" s="98"/>
      <c r="D492" s="98"/>
      <c r="E492" s="99"/>
      <c r="F492" s="98"/>
      <c r="G492" s="98"/>
      <c r="H492" s="98"/>
      <c r="I492" s="99"/>
      <c r="J492" s="98"/>
      <c r="K492" s="98"/>
      <c r="L492" s="98"/>
      <c r="M492" s="99"/>
      <c r="N492" s="98"/>
      <c r="O492" s="98"/>
      <c r="P492" s="98"/>
      <c r="Q492" s="99"/>
      <c r="R492" s="98"/>
      <c r="S492" s="98"/>
      <c r="T492" s="98"/>
      <c r="U492" s="99"/>
      <c r="V492" s="98"/>
      <c r="W492" s="98"/>
      <c r="X492" s="98"/>
      <c r="Y492" s="100"/>
      <c r="Z492" s="98"/>
      <c r="AA492" s="98"/>
      <c r="AB492" s="98"/>
      <c r="AC492" s="99"/>
      <c r="AD492" s="98"/>
      <c r="AE492" s="98"/>
      <c r="AF492" s="98"/>
      <c r="AG492" s="99"/>
      <c r="AH492" s="98"/>
      <c r="AI492" s="98"/>
      <c r="AJ492" s="98"/>
      <c r="AK492" s="99"/>
      <c r="AL492" s="98"/>
      <c r="AM492" s="98"/>
      <c r="AN492" s="98"/>
      <c r="AO492" s="98"/>
      <c r="AP492" s="84" t="str">
        <f t="shared" si="2"/>
        <v/>
      </c>
      <c r="AQ492" s="9"/>
      <c r="AR492" s="9"/>
      <c r="AS492" s="8"/>
      <c r="AT492" s="9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8"/>
      <c r="BX492" s="9"/>
      <c r="BY492" s="9"/>
      <c r="BZ492" s="9"/>
      <c r="CA492" s="33"/>
      <c r="CB492" s="85" t="str">
        <f t="shared" si="3"/>
        <v/>
      </c>
      <c r="CC492" s="86" t="str">
        <f t="shared" si="4"/>
        <v/>
      </c>
      <c r="CD492" s="86" t="str">
        <f t="shared" si="5"/>
        <v/>
      </c>
      <c r="CE492" s="86" t="str">
        <f t="shared" si="6"/>
        <v/>
      </c>
      <c r="CF492" s="86" t="str">
        <f t="shared" si="7"/>
        <v/>
      </c>
      <c r="CG492" s="86" t="str">
        <f t="shared" si="8"/>
        <v/>
      </c>
      <c r="CH492" s="86" t="str">
        <f t="shared" si="9"/>
        <v/>
      </c>
      <c r="CI492" s="86" t="str">
        <f t="shared" si="10"/>
        <v/>
      </c>
      <c r="CJ492" s="86" t="str">
        <f t="shared" si="11"/>
        <v/>
      </c>
      <c r="CK492" s="86" t="str">
        <f t="shared" si="12"/>
        <v/>
      </c>
      <c r="CL492" s="86" t="str">
        <f t="shared" si="13"/>
        <v/>
      </c>
      <c r="CM492" s="87" t="str">
        <f t="shared" si="14"/>
        <v/>
      </c>
      <c r="CN492" s="88" t="str">
        <f t="shared" si="26"/>
        <v/>
      </c>
      <c r="CO492" s="88" t="str">
        <f t="shared" si="15"/>
        <v/>
      </c>
      <c r="CP492" s="88" t="str">
        <f t="shared" si="16"/>
        <v/>
      </c>
      <c r="CQ492" s="88" t="str">
        <f t="shared" si="17"/>
        <v/>
      </c>
      <c r="CR492" s="88" t="str">
        <f t="shared" si="18"/>
        <v/>
      </c>
      <c r="CS492" s="88" t="str">
        <f t="shared" si="19"/>
        <v/>
      </c>
      <c r="CT492" s="88" t="str">
        <f t="shared" si="20"/>
        <v/>
      </c>
      <c r="CU492" s="88" t="str">
        <f t="shared" si="21"/>
        <v/>
      </c>
      <c r="CV492" s="88" t="str">
        <f t="shared" si="22"/>
        <v/>
      </c>
      <c r="CW492" s="88" t="str">
        <f t="shared" si="23"/>
        <v/>
      </c>
      <c r="CX492" s="7"/>
      <c r="CY492" s="7"/>
      <c r="CZ492" s="7"/>
      <c r="DA492" s="8"/>
      <c r="DU492" s="93" t="str">
        <f t="shared" si="24"/>
        <v/>
      </c>
      <c r="DV492" s="104" t="str">
        <f>ABA!$A492</f>
        <v/>
      </c>
      <c r="DW492" s="98" t="str">
        <f t="shared" si="25"/>
        <v/>
      </c>
    </row>
    <row r="493" ht="15.75" customHeight="1">
      <c r="A493" s="78"/>
      <c r="B493" s="105"/>
      <c r="C493" s="82"/>
      <c r="D493" s="82"/>
      <c r="E493" s="83"/>
      <c r="F493" s="82"/>
      <c r="G493" s="82"/>
      <c r="H493" s="82"/>
      <c r="I493" s="83"/>
      <c r="J493" s="82"/>
      <c r="K493" s="82"/>
      <c r="L493" s="82"/>
      <c r="M493" s="83"/>
      <c r="N493" s="82"/>
      <c r="O493" s="82"/>
      <c r="P493" s="82"/>
      <c r="Q493" s="83"/>
      <c r="R493" s="82"/>
      <c r="S493" s="82"/>
      <c r="T493" s="82"/>
      <c r="U493" s="83"/>
      <c r="V493" s="82"/>
      <c r="W493" s="82"/>
      <c r="X493" s="82"/>
      <c r="Y493" s="83"/>
      <c r="Z493" s="82"/>
      <c r="AA493" s="82"/>
      <c r="AB493" s="82"/>
      <c r="AC493" s="83"/>
      <c r="AD493" s="82"/>
      <c r="AE493" s="82"/>
      <c r="AF493" s="82"/>
      <c r="AG493" s="83"/>
      <c r="AH493" s="82"/>
      <c r="AI493" s="82"/>
      <c r="AJ493" s="82"/>
      <c r="AK493" s="83"/>
      <c r="AL493" s="82"/>
      <c r="AM493" s="82"/>
      <c r="AN493" s="82"/>
      <c r="AO493" s="82"/>
      <c r="AP493" s="84" t="str">
        <f t="shared" si="2"/>
        <v/>
      </c>
      <c r="AQ493" s="9"/>
      <c r="AR493" s="9"/>
      <c r="AS493" s="8"/>
      <c r="AT493" s="9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8"/>
      <c r="BX493" s="9"/>
      <c r="BY493" s="9"/>
      <c r="BZ493" s="9"/>
      <c r="CA493" s="33"/>
      <c r="CB493" s="85" t="str">
        <f t="shared" si="3"/>
        <v/>
      </c>
      <c r="CC493" s="86" t="str">
        <f t="shared" si="4"/>
        <v/>
      </c>
      <c r="CD493" s="86" t="str">
        <f t="shared" si="5"/>
        <v/>
      </c>
      <c r="CE493" s="86" t="str">
        <f t="shared" si="6"/>
        <v/>
      </c>
      <c r="CF493" s="86" t="str">
        <f t="shared" si="7"/>
        <v/>
      </c>
      <c r="CG493" s="86" t="str">
        <f t="shared" si="8"/>
        <v/>
      </c>
      <c r="CH493" s="86" t="str">
        <f t="shared" si="9"/>
        <v/>
      </c>
      <c r="CI493" s="86" t="str">
        <f t="shared" si="10"/>
        <v/>
      </c>
      <c r="CJ493" s="86" t="str">
        <f t="shared" si="11"/>
        <v/>
      </c>
      <c r="CK493" s="86" t="str">
        <f t="shared" si="12"/>
        <v/>
      </c>
      <c r="CL493" s="86" t="str">
        <f t="shared" si="13"/>
        <v/>
      </c>
      <c r="CM493" s="87" t="str">
        <f t="shared" si="14"/>
        <v/>
      </c>
      <c r="CN493" s="88" t="str">
        <f t="shared" si="26"/>
        <v/>
      </c>
      <c r="CO493" s="88" t="str">
        <f t="shared" si="15"/>
        <v/>
      </c>
      <c r="CP493" s="88" t="str">
        <f t="shared" si="16"/>
        <v/>
      </c>
      <c r="CQ493" s="88" t="str">
        <f t="shared" si="17"/>
        <v/>
      </c>
      <c r="CR493" s="88" t="str">
        <f t="shared" si="18"/>
        <v/>
      </c>
      <c r="CS493" s="88" t="str">
        <f t="shared" si="19"/>
        <v/>
      </c>
      <c r="CT493" s="88" t="str">
        <f t="shared" si="20"/>
        <v/>
      </c>
      <c r="CU493" s="88" t="str">
        <f t="shared" si="21"/>
        <v/>
      </c>
      <c r="CV493" s="88" t="str">
        <f t="shared" si="22"/>
        <v/>
      </c>
      <c r="CW493" s="88" t="str">
        <f t="shared" si="23"/>
        <v/>
      </c>
      <c r="CX493" s="7"/>
      <c r="CY493" s="7"/>
      <c r="CZ493" s="7"/>
      <c r="DA493" s="8"/>
      <c r="DU493" s="104" t="str">
        <f t="shared" si="24"/>
        <v/>
      </c>
      <c r="DV493" s="93" t="str">
        <f>ABA!$A493</f>
        <v/>
      </c>
      <c r="DW493" s="82" t="str">
        <f t="shared" si="25"/>
        <v/>
      </c>
    </row>
    <row r="494" ht="15.75" customHeight="1">
      <c r="A494" s="85"/>
      <c r="B494" s="107"/>
      <c r="C494" s="98"/>
      <c r="D494" s="98"/>
      <c r="E494" s="99"/>
      <c r="F494" s="98"/>
      <c r="G494" s="98"/>
      <c r="H494" s="98"/>
      <c r="I494" s="99"/>
      <c r="J494" s="98"/>
      <c r="K494" s="98"/>
      <c r="L494" s="98"/>
      <c r="M494" s="99"/>
      <c r="N494" s="98"/>
      <c r="O494" s="98"/>
      <c r="P494" s="98"/>
      <c r="Q494" s="99"/>
      <c r="R494" s="98"/>
      <c r="S494" s="98"/>
      <c r="T494" s="98"/>
      <c r="U494" s="99"/>
      <c r="V494" s="98"/>
      <c r="W494" s="98"/>
      <c r="X494" s="98"/>
      <c r="Y494" s="100"/>
      <c r="Z494" s="98"/>
      <c r="AA494" s="98"/>
      <c r="AB494" s="98"/>
      <c r="AC494" s="99"/>
      <c r="AD494" s="98"/>
      <c r="AE494" s="98"/>
      <c r="AF494" s="98"/>
      <c r="AG494" s="99"/>
      <c r="AH494" s="98"/>
      <c r="AI494" s="98"/>
      <c r="AJ494" s="98"/>
      <c r="AK494" s="99"/>
      <c r="AL494" s="98"/>
      <c r="AM494" s="98"/>
      <c r="AN494" s="98"/>
      <c r="AO494" s="98"/>
      <c r="AP494" s="84" t="str">
        <f t="shared" si="2"/>
        <v/>
      </c>
      <c r="AQ494" s="9"/>
      <c r="AR494" s="9"/>
      <c r="AS494" s="8"/>
      <c r="AT494" s="9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8"/>
      <c r="BX494" s="9"/>
      <c r="BY494" s="9"/>
      <c r="BZ494" s="9"/>
      <c r="CA494" s="33"/>
      <c r="CB494" s="85" t="str">
        <f t="shared" si="3"/>
        <v/>
      </c>
      <c r="CC494" s="86" t="str">
        <f t="shared" si="4"/>
        <v/>
      </c>
      <c r="CD494" s="86" t="str">
        <f t="shared" si="5"/>
        <v/>
      </c>
      <c r="CE494" s="86" t="str">
        <f t="shared" si="6"/>
        <v/>
      </c>
      <c r="CF494" s="86" t="str">
        <f t="shared" si="7"/>
        <v/>
      </c>
      <c r="CG494" s="86" t="str">
        <f t="shared" si="8"/>
        <v/>
      </c>
      <c r="CH494" s="86" t="str">
        <f t="shared" si="9"/>
        <v/>
      </c>
      <c r="CI494" s="86" t="str">
        <f t="shared" si="10"/>
        <v/>
      </c>
      <c r="CJ494" s="86" t="str">
        <f t="shared" si="11"/>
        <v/>
      </c>
      <c r="CK494" s="86" t="str">
        <f t="shared" si="12"/>
        <v/>
      </c>
      <c r="CL494" s="86" t="str">
        <f t="shared" si="13"/>
        <v/>
      </c>
      <c r="CM494" s="87" t="str">
        <f t="shared" si="14"/>
        <v/>
      </c>
      <c r="CN494" s="88" t="str">
        <f t="shared" si="26"/>
        <v/>
      </c>
      <c r="CO494" s="88" t="str">
        <f t="shared" si="15"/>
        <v/>
      </c>
      <c r="CP494" s="88" t="str">
        <f t="shared" si="16"/>
        <v/>
      </c>
      <c r="CQ494" s="88" t="str">
        <f t="shared" si="17"/>
        <v/>
      </c>
      <c r="CR494" s="88" t="str">
        <f t="shared" si="18"/>
        <v/>
      </c>
      <c r="CS494" s="88" t="str">
        <f t="shared" si="19"/>
        <v/>
      </c>
      <c r="CT494" s="88" t="str">
        <f t="shared" si="20"/>
        <v/>
      </c>
      <c r="CU494" s="88" t="str">
        <f t="shared" si="21"/>
        <v/>
      </c>
      <c r="CV494" s="88" t="str">
        <f t="shared" si="22"/>
        <v/>
      </c>
      <c r="CW494" s="88" t="str">
        <f t="shared" si="23"/>
        <v/>
      </c>
      <c r="CX494" s="7"/>
      <c r="CY494" s="7"/>
      <c r="CZ494" s="7"/>
      <c r="DA494" s="8"/>
      <c r="DU494" s="93" t="str">
        <f t="shared" si="24"/>
        <v/>
      </c>
      <c r="DV494" s="104" t="str">
        <f>ABA!$A494</f>
        <v/>
      </c>
      <c r="DW494" s="98" t="str">
        <f t="shared" si="25"/>
        <v/>
      </c>
    </row>
    <row r="495" ht="15.75" customHeight="1">
      <c r="A495" s="78"/>
      <c r="B495" s="105"/>
      <c r="C495" s="82"/>
      <c r="D495" s="82"/>
      <c r="E495" s="83"/>
      <c r="F495" s="82"/>
      <c r="G495" s="82"/>
      <c r="H495" s="82"/>
      <c r="I495" s="83"/>
      <c r="J495" s="82"/>
      <c r="K495" s="82"/>
      <c r="L495" s="82"/>
      <c r="M495" s="83"/>
      <c r="N495" s="82"/>
      <c r="O495" s="82"/>
      <c r="P495" s="82"/>
      <c r="Q495" s="83"/>
      <c r="R495" s="82"/>
      <c r="S495" s="82"/>
      <c r="T495" s="82"/>
      <c r="U495" s="83"/>
      <c r="V495" s="82"/>
      <c r="W495" s="82"/>
      <c r="X495" s="82"/>
      <c r="Y495" s="83"/>
      <c r="Z495" s="82"/>
      <c r="AA495" s="82"/>
      <c r="AB495" s="82"/>
      <c r="AC495" s="83"/>
      <c r="AD495" s="82"/>
      <c r="AE495" s="82"/>
      <c r="AF495" s="82"/>
      <c r="AG495" s="83"/>
      <c r="AH495" s="82"/>
      <c r="AI495" s="82"/>
      <c r="AJ495" s="82"/>
      <c r="AK495" s="83"/>
      <c r="AL495" s="82"/>
      <c r="AM495" s="82"/>
      <c r="AN495" s="82"/>
      <c r="AO495" s="82"/>
      <c r="AP495" s="84" t="str">
        <f t="shared" si="2"/>
        <v/>
      </c>
      <c r="AQ495" s="9"/>
      <c r="AR495" s="9"/>
      <c r="AS495" s="8"/>
      <c r="AT495" s="9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8"/>
      <c r="BX495" s="9"/>
      <c r="BY495" s="9"/>
      <c r="BZ495" s="9"/>
      <c r="CA495" s="33"/>
      <c r="CB495" s="85" t="str">
        <f t="shared" si="3"/>
        <v/>
      </c>
      <c r="CC495" s="86" t="str">
        <f t="shared" si="4"/>
        <v/>
      </c>
      <c r="CD495" s="86" t="str">
        <f t="shared" si="5"/>
        <v/>
      </c>
      <c r="CE495" s="86" t="str">
        <f t="shared" si="6"/>
        <v/>
      </c>
      <c r="CF495" s="86" t="str">
        <f t="shared" si="7"/>
        <v/>
      </c>
      <c r="CG495" s="86" t="str">
        <f t="shared" si="8"/>
        <v/>
      </c>
      <c r="CH495" s="86" t="str">
        <f t="shared" si="9"/>
        <v/>
      </c>
      <c r="CI495" s="86" t="str">
        <f t="shared" si="10"/>
        <v/>
      </c>
      <c r="CJ495" s="86" t="str">
        <f t="shared" si="11"/>
        <v/>
      </c>
      <c r="CK495" s="86" t="str">
        <f t="shared" si="12"/>
        <v/>
      </c>
      <c r="CL495" s="86" t="str">
        <f t="shared" si="13"/>
        <v/>
      </c>
      <c r="CM495" s="87" t="str">
        <f t="shared" si="14"/>
        <v/>
      </c>
      <c r="CN495" s="88" t="str">
        <f t="shared" si="26"/>
        <v/>
      </c>
      <c r="CO495" s="88" t="str">
        <f t="shared" si="15"/>
        <v/>
      </c>
      <c r="CP495" s="88" t="str">
        <f t="shared" si="16"/>
        <v/>
      </c>
      <c r="CQ495" s="88" t="str">
        <f t="shared" si="17"/>
        <v/>
      </c>
      <c r="CR495" s="88" t="str">
        <f t="shared" si="18"/>
        <v/>
      </c>
      <c r="CS495" s="88" t="str">
        <f t="shared" si="19"/>
        <v/>
      </c>
      <c r="CT495" s="88" t="str">
        <f t="shared" si="20"/>
        <v/>
      </c>
      <c r="CU495" s="88" t="str">
        <f t="shared" si="21"/>
        <v/>
      </c>
      <c r="CV495" s="88" t="str">
        <f t="shared" si="22"/>
        <v/>
      </c>
      <c r="CW495" s="88" t="str">
        <f t="shared" si="23"/>
        <v/>
      </c>
      <c r="CX495" s="7"/>
      <c r="CY495" s="7"/>
      <c r="CZ495" s="7"/>
      <c r="DA495" s="8"/>
      <c r="DU495" s="104" t="str">
        <f t="shared" si="24"/>
        <v/>
      </c>
      <c r="DV495" s="93" t="str">
        <f>ABA!$A495</f>
        <v/>
      </c>
      <c r="DW495" s="82" t="str">
        <f t="shared" si="25"/>
        <v/>
      </c>
    </row>
    <row r="496" ht="15.75" customHeight="1">
      <c r="A496" s="85"/>
      <c r="B496" s="107"/>
      <c r="C496" s="98"/>
      <c r="D496" s="98"/>
      <c r="E496" s="99"/>
      <c r="F496" s="98"/>
      <c r="G496" s="98"/>
      <c r="H496" s="98"/>
      <c r="I496" s="99"/>
      <c r="J496" s="98"/>
      <c r="K496" s="98"/>
      <c r="L496" s="98"/>
      <c r="M496" s="99"/>
      <c r="N496" s="98"/>
      <c r="O496" s="98"/>
      <c r="P496" s="98"/>
      <c r="Q496" s="99"/>
      <c r="R496" s="98"/>
      <c r="S496" s="98"/>
      <c r="T496" s="98"/>
      <c r="U496" s="99"/>
      <c r="V496" s="98"/>
      <c r="W496" s="98"/>
      <c r="X496" s="98"/>
      <c r="Y496" s="100"/>
      <c r="Z496" s="98"/>
      <c r="AA496" s="98"/>
      <c r="AB496" s="98"/>
      <c r="AC496" s="99"/>
      <c r="AD496" s="98"/>
      <c r="AE496" s="98"/>
      <c r="AF496" s="98"/>
      <c r="AG496" s="99"/>
      <c r="AH496" s="98"/>
      <c r="AI496" s="98"/>
      <c r="AJ496" s="98"/>
      <c r="AK496" s="99"/>
      <c r="AL496" s="98"/>
      <c r="AM496" s="98"/>
      <c r="AN496" s="98"/>
      <c r="AO496" s="98"/>
      <c r="AP496" s="84" t="str">
        <f t="shared" si="2"/>
        <v/>
      </c>
      <c r="AQ496" s="9"/>
      <c r="AR496" s="9"/>
      <c r="AS496" s="8"/>
      <c r="AT496" s="9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8"/>
      <c r="BX496" s="9"/>
      <c r="BY496" s="9"/>
      <c r="BZ496" s="9"/>
      <c r="CA496" s="33"/>
      <c r="CB496" s="85" t="str">
        <f t="shared" si="3"/>
        <v/>
      </c>
      <c r="CC496" s="86" t="str">
        <f t="shared" si="4"/>
        <v/>
      </c>
      <c r="CD496" s="86" t="str">
        <f t="shared" si="5"/>
        <v/>
      </c>
      <c r="CE496" s="86" t="str">
        <f t="shared" si="6"/>
        <v/>
      </c>
      <c r="CF496" s="86" t="str">
        <f t="shared" si="7"/>
        <v/>
      </c>
      <c r="CG496" s="86" t="str">
        <f t="shared" si="8"/>
        <v/>
      </c>
      <c r="CH496" s="86" t="str">
        <f t="shared" si="9"/>
        <v/>
      </c>
      <c r="CI496" s="86" t="str">
        <f t="shared" si="10"/>
        <v/>
      </c>
      <c r="CJ496" s="86" t="str">
        <f t="shared" si="11"/>
        <v/>
      </c>
      <c r="CK496" s="86" t="str">
        <f t="shared" si="12"/>
        <v/>
      </c>
      <c r="CL496" s="86" t="str">
        <f t="shared" si="13"/>
        <v/>
      </c>
      <c r="CM496" s="87" t="str">
        <f t="shared" si="14"/>
        <v/>
      </c>
      <c r="CN496" s="88" t="str">
        <f t="shared" si="26"/>
        <v/>
      </c>
      <c r="CO496" s="88" t="str">
        <f t="shared" si="15"/>
        <v/>
      </c>
      <c r="CP496" s="88" t="str">
        <f t="shared" si="16"/>
        <v/>
      </c>
      <c r="CQ496" s="88" t="str">
        <f t="shared" si="17"/>
        <v/>
      </c>
      <c r="CR496" s="88" t="str">
        <f t="shared" si="18"/>
        <v/>
      </c>
      <c r="CS496" s="88" t="str">
        <f t="shared" si="19"/>
        <v/>
      </c>
      <c r="CT496" s="88" t="str">
        <f t="shared" si="20"/>
        <v/>
      </c>
      <c r="CU496" s="88" t="str">
        <f t="shared" si="21"/>
        <v/>
      </c>
      <c r="CV496" s="88" t="str">
        <f t="shared" si="22"/>
        <v/>
      </c>
      <c r="CW496" s="88" t="str">
        <f t="shared" si="23"/>
        <v/>
      </c>
      <c r="CX496" s="7"/>
      <c r="CY496" s="7"/>
      <c r="CZ496" s="7"/>
      <c r="DA496" s="8"/>
      <c r="DU496" s="93" t="str">
        <f t="shared" si="24"/>
        <v/>
      </c>
      <c r="DV496" s="104" t="str">
        <f>ABA!$A496</f>
        <v/>
      </c>
      <c r="DW496" s="98" t="str">
        <f t="shared" si="25"/>
        <v/>
      </c>
    </row>
    <row r="497" ht="15.75" customHeight="1">
      <c r="A497" s="78"/>
      <c r="B497" s="105"/>
      <c r="C497" s="82"/>
      <c r="D497" s="82"/>
      <c r="E497" s="83"/>
      <c r="F497" s="82"/>
      <c r="G497" s="82"/>
      <c r="H497" s="82"/>
      <c r="I497" s="83"/>
      <c r="J497" s="82"/>
      <c r="K497" s="82"/>
      <c r="L497" s="82"/>
      <c r="M497" s="83"/>
      <c r="N497" s="82"/>
      <c r="O497" s="82"/>
      <c r="P497" s="82"/>
      <c r="Q497" s="83"/>
      <c r="R497" s="82"/>
      <c r="S497" s="82"/>
      <c r="T497" s="82"/>
      <c r="U497" s="83"/>
      <c r="V497" s="82"/>
      <c r="W497" s="82"/>
      <c r="X497" s="82"/>
      <c r="Y497" s="83"/>
      <c r="Z497" s="82"/>
      <c r="AA497" s="82"/>
      <c r="AB497" s="82"/>
      <c r="AC497" s="83"/>
      <c r="AD497" s="82"/>
      <c r="AE497" s="82"/>
      <c r="AF497" s="82"/>
      <c r="AG497" s="83"/>
      <c r="AH497" s="82"/>
      <c r="AI497" s="82"/>
      <c r="AJ497" s="82"/>
      <c r="AK497" s="83"/>
      <c r="AL497" s="82"/>
      <c r="AM497" s="82"/>
      <c r="AN497" s="82"/>
      <c r="AO497" s="82"/>
      <c r="AP497" s="84" t="str">
        <f t="shared" si="2"/>
        <v/>
      </c>
      <c r="AQ497" s="9"/>
      <c r="AR497" s="9"/>
      <c r="AS497" s="8"/>
      <c r="AT497" s="9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8"/>
      <c r="BX497" s="9"/>
      <c r="BY497" s="9"/>
      <c r="BZ497" s="9"/>
      <c r="CA497" s="33"/>
      <c r="CB497" s="85" t="str">
        <f t="shared" si="3"/>
        <v/>
      </c>
      <c r="CC497" s="86" t="str">
        <f t="shared" si="4"/>
        <v/>
      </c>
      <c r="CD497" s="86" t="str">
        <f t="shared" si="5"/>
        <v/>
      </c>
      <c r="CE497" s="86" t="str">
        <f t="shared" si="6"/>
        <v/>
      </c>
      <c r="CF497" s="86" t="str">
        <f t="shared" si="7"/>
        <v/>
      </c>
      <c r="CG497" s="86" t="str">
        <f t="shared" si="8"/>
        <v/>
      </c>
      <c r="CH497" s="86" t="str">
        <f t="shared" si="9"/>
        <v/>
      </c>
      <c r="CI497" s="86" t="str">
        <f t="shared" si="10"/>
        <v/>
      </c>
      <c r="CJ497" s="86" t="str">
        <f t="shared" si="11"/>
        <v/>
      </c>
      <c r="CK497" s="86" t="str">
        <f t="shared" si="12"/>
        <v/>
      </c>
      <c r="CL497" s="86" t="str">
        <f t="shared" si="13"/>
        <v/>
      </c>
      <c r="CM497" s="87" t="str">
        <f t="shared" si="14"/>
        <v/>
      </c>
      <c r="CN497" s="88" t="str">
        <f t="shared" si="26"/>
        <v/>
      </c>
      <c r="CO497" s="88" t="str">
        <f t="shared" si="15"/>
        <v/>
      </c>
      <c r="CP497" s="88" t="str">
        <f t="shared" si="16"/>
        <v/>
      </c>
      <c r="CQ497" s="88" t="str">
        <f t="shared" si="17"/>
        <v/>
      </c>
      <c r="CR497" s="88" t="str">
        <f t="shared" si="18"/>
        <v/>
      </c>
      <c r="CS497" s="88" t="str">
        <f t="shared" si="19"/>
        <v/>
      </c>
      <c r="CT497" s="88" t="str">
        <f t="shared" si="20"/>
        <v/>
      </c>
      <c r="CU497" s="88" t="str">
        <f t="shared" si="21"/>
        <v/>
      </c>
      <c r="CV497" s="88" t="str">
        <f t="shared" si="22"/>
        <v/>
      </c>
      <c r="CW497" s="88" t="str">
        <f t="shared" si="23"/>
        <v/>
      </c>
      <c r="CX497" s="7"/>
      <c r="CY497" s="7"/>
      <c r="CZ497" s="7"/>
      <c r="DA497" s="8"/>
      <c r="DU497" s="104" t="str">
        <f t="shared" si="24"/>
        <v/>
      </c>
      <c r="DV497" s="93" t="str">
        <f>ABA!$A497</f>
        <v/>
      </c>
      <c r="DW497" s="82" t="str">
        <f t="shared" si="25"/>
        <v/>
      </c>
    </row>
    <row r="498" ht="15.75" customHeight="1">
      <c r="A498" s="85"/>
      <c r="B498" s="107"/>
      <c r="C498" s="98"/>
      <c r="D498" s="98"/>
      <c r="E498" s="99"/>
      <c r="F498" s="98"/>
      <c r="G498" s="98"/>
      <c r="H498" s="98"/>
      <c r="I498" s="99"/>
      <c r="J498" s="98"/>
      <c r="K498" s="98"/>
      <c r="L498" s="98"/>
      <c r="M498" s="99"/>
      <c r="N498" s="98"/>
      <c r="O498" s="98"/>
      <c r="P498" s="98"/>
      <c r="Q498" s="99"/>
      <c r="R498" s="98"/>
      <c r="S498" s="98"/>
      <c r="T498" s="98"/>
      <c r="U498" s="99"/>
      <c r="V498" s="98"/>
      <c r="W498" s="98"/>
      <c r="X498" s="98"/>
      <c r="Y498" s="100"/>
      <c r="Z498" s="98"/>
      <c r="AA498" s="98"/>
      <c r="AB498" s="98"/>
      <c r="AC498" s="99"/>
      <c r="AD498" s="98"/>
      <c r="AE498" s="98"/>
      <c r="AF498" s="98"/>
      <c r="AG498" s="99"/>
      <c r="AH498" s="98"/>
      <c r="AI498" s="98"/>
      <c r="AJ498" s="98"/>
      <c r="AK498" s="99"/>
      <c r="AL498" s="98"/>
      <c r="AM498" s="98"/>
      <c r="AN498" s="98"/>
      <c r="AO498" s="98"/>
      <c r="AP498" s="84" t="str">
        <f t="shared" si="2"/>
        <v/>
      </c>
      <c r="AQ498" s="9"/>
      <c r="AR498" s="9"/>
      <c r="AS498" s="8"/>
      <c r="AT498" s="9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8"/>
      <c r="BX498" s="9"/>
      <c r="BY498" s="9"/>
      <c r="BZ498" s="9"/>
      <c r="CA498" s="33"/>
      <c r="CB498" s="85" t="str">
        <f t="shared" si="3"/>
        <v/>
      </c>
      <c r="CC498" s="86" t="str">
        <f t="shared" si="4"/>
        <v/>
      </c>
      <c r="CD498" s="86" t="str">
        <f t="shared" si="5"/>
        <v/>
      </c>
      <c r="CE498" s="86" t="str">
        <f t="shared" si="6"/>
        <v/>
      </c>
      <c r="CF498" s="86" t="str">
        <f t="shared" si="7"/>
        <v/>
      </c>
      <c r="CG498" s="86" t="str">
        <f t="shared" si="8"/>
        <v/>
      </c>
      <c r="CH498" s="86" t="str">
        <f t="shared" si="9"/>
        <v/>
      </c>
      <c r="CI498" s="86" t="str">
        <f t="shared" si="10"/>
        <v/>
      </c>
      <c r="CJ498" s="86" t="str">
        <f t="shared" si="11"/>
        <v/>
      </c>
      <c r="CK498" s="86" t="str">
        <f t="shared" si="12"/>
        <v/>
      </c>
      <c r="CL498" s="86" t="str">
        <f t="shared" si="13"/>
        <v/>
      </c>
      <c r="CM498" s="87" t="str">
        <f t="shared" si="14"/>
        <v/>
      </c>
      <c r="CN498" s="88" t="str">
        <f t="shared" si="26"/>
        <v/>
      </c>
      <c r="CO498" s="88" t="str">
        <f t="shared" si="15"/>
        <v/>
      </c>
      <c r="CP498" s="88" t="str">
        <f t="shared" si="16"/>
        <v/>
      </c>
      <c r="CQ498" s="88" t="str">
        <f t="shared" si="17"/>
        <v/>
      </c>
      <c r="CR498" s="88" t="str">
        <f t="shared" si="18"/>
        <v/>
      </c>
      <c r="CS498" s="88" t="str">
        <f t="shared" si="19"/>
        <v/>
      </c>
      <c r="CT498" s="88" t="str">
        <f t="shared" si="20"/>
        <v/>
      </c>
      <c r="CU498" s="88" t="str">
        <f t="shared" si="21"/>
        <v/>
      </c>
      <c r="CV498" s="88" t="str">
        <f t="shared" si="22"/>
        <v/>
      </c>
      <c r="CW498" s="88" t="str">
        <f t="shared" si="23"/>
        <v/>
      </c>
      <c r="CX498" s="7"/>
      <c r="CY498" s="7"/>
      <c r="CZ498" s="7"/>
      <c r="DA498" s="8"/>
      <c r="DU498" s="93" t="str">
        <f t="shared" si="24"/>
        <v/>
      </c>
      <c r="DV498" s="104" t="str">
        <f>ABA!$A498</f>
        <v/>
      </c>
      <c r="DW498" s="98" t="str">
        <f t="shared" si="25"/>
        <v/>
      </c>
    </row>
    <row r="499" ht="15.75" customHeight="1">
      <c r="A499" s="78"/>
      <c r="B499" s="105"/>
      <c r="C499" s="82"/>
      <c r="D499" s="82"/>
      <c r="E499" s="83"/>
      <c r="F499" s="82"/>
      <c r="G499" s="82"/>
      <c r="H499" s="82"/>
      <c r="I499" s="83"/>
      <c r="J499" s="82"/>
      <c r="K499" s="82"/>
      <c r="L499" s="82"/>
      <c r="M499" s="83"/>
      <c r="N499" s="82"/>
      <c r="O499" s="82"/>
      <c r="P499" s="82"/>
      <c r="Q499" s="83"/>
      <c r="R499" s="82"/>
      <c r="S499" s="82"/>
      <c r="T499" s="82"/>
      <c r="U499" s="83"/>
      <c r="V499" s="82"/>
      <c r="W499" s="82"/>
      <c r="X499" s="82"/>
      <c r="Y499" s="83"/>
      <c r="Z499" s="82"/>
      <c r="AA499" s="82"/>
      <c r="AB499" s="82"/>
      <c r="AC499" s="83"/>
      <c r="AD499" s="82"/>
      <c r="AE499" s="82"/>
      <c r="AF499" s="82"/>
      <c r="AG499" s="83"/>
      <c r="AH499" s="82"/>
      <c r="AI499" s="82"/>
      <c r="AJ499" s="82"/>
      <c r="AK499" s="83"/>
      <c r="AL499" s="82"/>
      <c r="AM499" s="82"/>
      <c r="AN499" s="82"/>
      <c r="AO499" s="82"/>
      <c r="AP499" s="84" t="str">
        <f t="shared" si="2"/>
        <v/>
      </c>
      <c r="AQ499" s="9"/>
      <c r="AR499" s="9"/>
      <c r="AS499" s="8"/>
      <c r="AT499" s="9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8"/>
      <c r="BX499" s="9"/>
      <c r="BY499" s="9"/>
      <c r="BZ499" s="9"/>
      <c r="CA499" s="33"/>
      <c r="CB499" s="85" t="str">
        <f t="shared" si="3"/>
        <v/>
      </c>
      <c r="CC499" s="86" t="str">
        <f t="shared" si="4"/>
        <v/>
      </c>
      <c r="CD499" s="86" t="str">
        <f t="shared" si="5"/>
        <v/>
      </c>
      <c r="CE499" s="86" t="str">
        <f t="shared" si="6"/>
        <v/>
      </c>
      <c r="CF499" s="86" t="str">
        <f t="shared" si="7"/>
        <v/>
      </c>
      <c r="CG499" s="86" t="str">
        <f t="shared" si="8"/>
        <v/>
      </c>
      <c r="CH499" s="86" t="str">
        <f t="shared" si="9"/>
        <v/>
      </c>
      <c r="CI499" s="86" t="str">
        <f t="shared" si="10"/>
        <v/>
      </c>
      <c r="CJ499" s="86" t="str">
        <f t="shared" si="11"/>
        <v/>
      </c>
      <c r="CK499" s="86" t="str">
        <f t="shared" si="12"/>
        <v/>
      </c>
      <c r="CL499" s="86" t="str">
        <f t="shared" si="13"/>
        <v/>
      </c>
      <c r="CM499" s="87" t="str">
        <f t="shared" si="14"/>
        <v/>
      </c>
      <c r="CN499" s="88" t="str">
        <f t="shared" si="26"/>
        <v/>
      </c>
      <c r="CO499" s="88" t="str">
        <f t="shared" si="15"/>
        <v/>
      </c>
      <c r="CP499" s="88" t="str">
        <f t="shared" si="16"/>
        <v/>
      </c>
      <c r="CQ499" s="88" t="str">
        <f t="shared" si="17"/>
        <v/>
      </c>
      <c r="CR499" s="88" t="str">
        <f t="shared" si="18"/>
        <v/>
      </c>
      <c r="CS499" s="88" t="str">
        <f t="shared" si="19"/>
        <v/>
      </c>
      <c r="CT499" s="88" t="str">
        <f t="shared" si="20"/>
        <v/>
      </c>
      <c r="CU499" s="88" t="str">
        <f t="shared" si="21"/>
        <v/>
      </c>
      <c r="CV499" s="88" t="str">
        <f t="shared" si="22"/>
        <v/>
      </c>
      <c r="CW499" s="88" t="str">
        <f t="shared" si="23"/>
        <v/>
      </c>
      <c r="CX499" s="7"/>
      <c r="CY499" s="7"/>
      <c r="CZ499" s="7"/>
      <c r="DA499" s="8"/>
      <c r="DU499" s="93" t="str">
        <f t="shared" si="24"/>
        <v/>
      </c>
      <c r="DV499" s="93" t="str">
        <f>ABA!$A499</f>
        <v/>
      </c>
      <c r="DW499" s="82" t="str">
        <f t="shared" si="25"/>
        <v/>
      </c>
    </row>
    <row r="500" ht="15.75" customHeight="1">
      <c r="A500" s="85"/>
      <c r="B500" s="107"/>
      <c r="C500" s="98"/>
      <c r="D500" s="98"/>
      <c r="E500" s="99"/>
      <c r="F500" s="98"/>
      <c r="G500" s="98"/>
      <c r="H500" s="98"/>
      <c r="I500" s="99"/>
      <c r="J500" s="98"/>
      <c r="K500" s="98"/>
      <c r="L500" s="98"/>
      <c r="M500" s="99"/>
      <c r="N500" s="98"/>
      <c r="O500" s="98"/>
      <c r="P500" s="98"/>
      <c r="Q500" s="99"/>
      <c r="R500" s="98"/>
      <c r="S500" s="98"/>
      <c r="T500" s="98"/>
      <c r="U500" s="99"/>
      <c r="V500" s="98"/>
      <c r="W500" s="98"/>
      <c r="X500" s="98"/>
      <c r="Y500" s="100"/>
      <c r="Z500" s="98"/>
      <c r="AA500" s="98"/>
      <c r="AB500" s="98"/>
      <c r="AC500" s="99"/>
      <c r="AD500" s="98"/>
      <c r="AE500" s="98"/>
      <c r="AF500" s="98"/>
      <c r="AG500" s="99"/>
      <c r="AH500" s="98"/>
      <c r="AI500" s="98"/>
      <c r="AJ500" s="98"/>
      <c r="AK500" s="99"/>
      <c r="AL500" s="98"/>
      <c r="AM500" s="98"/>
      <c r="AN500" s="98"/>
      <c r="AO500" s="98"/>
      <c r="AP500" s="84" t="str">
        <f t="shared" si="2"/>
        <v/>
      </c>
      <c r="AQ500" s="9"/>
      <c r="AR500" s="9"/>
      <c r="AS500" s="8"/>
      <c r="AT500" s="9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8"/>
      <c r="BX500" s="9"/>
      <c r="BY500" s="9"/>
      <c r="BZ500" s="9"/>
      <c r="CA500" s="33"/>
      <c r="CB500" s="85" t="str">
        <f t="shared" si="3"/>
        <v/>
      </c>
      <c r="CC500" s="86" t="str">
        <f t="shared" si="4"/>
        <v/>
      </c>
      <c r="CD500" s="86" t="str">
        <f t="shared" si="5"/>
        <v/>
      </c>
      <c r="CE500" s="86" t="str">
        <f t="shared" si="6"/>
        <v/>
      </c>
      <c r="CF500" s="86" t="str">
        <f t="shared" si="7"/>
        <v/>
      </c>
      <c r="CG500" s="86" t="str">
        <f t="shared" si="8"/>
        <v/>
      </c>
      <c r="CH500" s="86" t="str">
        <f t="shared" si="9"/>
        <v/>
      </c>
      <c r="CI500" s="86" t="str">
        <f t="shared" si="10"/>
        <v/>
      </c>
      <c r="CJ500" s="86" t="str">
        <f t="shared" si="11"/>
        <v/>
      </c>
      <c r="CK500" s="86" t="str">
        <f t="shared" si="12"/>
        <v/>
      </c>
      <c r="CL500" s="86" t="str">
        <f t="shared" si="13"/>
        <v/>
      </c>
      <c r="CM500" s="87" t="str">
        <f t="shared" si="14"/>
        <v/>
      </c>
      <c r="CN500" s="88" t="str">
        <f t="shared" si="26"/>
        <v/>
      </c>
      <c r="CO500" s="88" t="str">
        <f t="shared" si="15"/>
        <v/>
      </c>
      <c r="CP500" s="88" t="str">
        <f t="shared" si="16"/>
        <v/>
      </c>
      <c r="CQ500" s="88" t="str">
        <f t="shared" si="17"/>
        <v/>
      </c>
      <c r="CR500" s="88" t="str">
        <f t="shared" si="18"/>
        <v/>
      </c>
      <c r="CS500" s="88" t="str">
        <f t="shared" si="19"/>
        <v/>
      </c>
      <c r="CT500" s="88" t="str">
        <f t="shared" si="20"/>
        <v/>
      </c>
      <c r="CU500" s="88" t="str">
        <f t="shared" si="21"/>
        <v/>
      </c>
      <c r="CV500" s="88" t="str">
        <f t="shared" si="22"/>
        <v/>
      </c>
      <c r="CW500" s="88" t="str">
        <f t="shared" si="23"/>
        <v/>
      </c>
      <c r="CX500" s="7"/>
      <c r="CY500" s="7"/>
      <c r="CZ500" s="7"/>
      <c r="DA500" s="8"/>
      <c r="DU500" s="104" t="str">
        <f t="shared" si="24"/>
        <v/>
      </c>
      <c r="DV500" s="104" t="str">
        <f>ABA!$A500</f>
        <v/>
      </c>
      <c r="DW500" s="98" t="str">
        <f t="shared" si="25"/>
        <v/>
      </c>
    </row>
  </sheetData>
  <mergeCells count="40">
    <mergeCell ref="A1:N1"/>
    <mergeCell ref="P1:T1"/>
    <mergeCell ref="AT1:BW1"/>
    <mergeCell ref="R2:T2"/>
    <mergeCell ref="AU3:AZ3"/>
    <mergeCell ref="BB3:BG3"/>
    <mergeCell ref="BI3:BN3"/>
    <mergeCell ref="R3:T3"/>
    <mergeCell ref="D4:F4"/>
    <mergeCell ref="G4:N4"/>
    <mergeCell ref="R4:T4"/>
    <mergeCell ref="AU4:AZ4"/>
    <mergeCell ref="BB4:BG4"/>
    <mergeCell ref="BI4:BN4"/>
    <mergeCell ref="AT9:BW9"/>
    <mergeCell ref="CB9:CL9"/>
    <mergeCell ref="CM9:CW9"/>
    <mergeCell ref="D5:F5"/>
    <mergeCell ref="G5:N5"/>
    <mergeCell ref="R5:T5"/>
    <mergeCell ref="D6:F6"/>
    <mergeCell ref="G6:N6"/>
    <mergeCell ref="R6:T6"/>
    <mergeCell ref="A9:AQ9"/>
    <mergeCell ref="AD10:AG10"/>
    <mergeCell ref="AH10:AK10"/>
    <mergeCell ref="AL10:AO10"/>
    <mergeCell ref="AP10:AP12"/>
    <mergeCell ref="AQ11:AQ12"/>
    <mergeCell ref="AT10:BW10"/>
    <mergeCell ref="CB10:CL10"/>
    <mergeCell ref="DB10:DT10"/>
    <mergeCell ref="DU11:DW11"/>
    <mergeCell ref="B10:E10"/>
    <mergeCell ref="F10:I10"/>
    <mergeCell ref="J10:M10"/>
    <mergeCell ref="N10:Q10"/>
    <mergeCell ref="R10:U10"/>
    <mergeCell ref="V10:Y10"/>
    <mergeCell ref="Z10:AC10"/>
  </mergeCells>
  <conditionalFormatting sqref="AP13:AP500">
    <cfRule type="colorScale" priority="1">
      <colorScale>
        <cfvo type="formula" val="0"/>
        <cfvo type="formula" val="0.5"/>
        <cfvo type="formula" val="0.6"/>
        <color rgb="FFE67C73"/>
        <color rgb="FFFFEB84"/>
        <color rgb="FF79C2A7"/>
      </colorScale>
    </cfRule>
  </conditionalFormatting>
  <conditionalFormatting sqref="G4:N4">
    <cfRule type="cellIs" dxfId="0" priority="2" operator="equal">
      <formula>"Nome Sobrenome"</formula>
    </cfRule>
  </conditionalFormatting>
  <conditionalFormatting sqref="G5:N5">
    <cfRule type="cellIs" dxfId="0" priority="3" operator="equal">
      <formula>"Psi. Nome Sobrenome"</formula>
    </cfRule>
  </conditionalFormatting>
  <conditionalFormatting sqref="B10:E10">
    <cfRule type="expression" dxfId="1" priority="4">
      <formula>CN10="Recurso Adquirido"</formula>
    </cfRule>
  </conditionalFormatting>
  <conditionalFormatting sqref="F10:I10">
    <cfRule type="expression" dxfId="1" priority="5">
      <formula>CO10="Recurso Adquirido"</formula>
    </cfRule>
  </conditionalFormatting>
  <conditionalFormatting sqref="J10:M10">
    <cfRule type="expression" dxfId="1" priority="6">
      <formula>CP10="Recurso Adquirido"</formula>
    </cfRule>
  </conditionalFormatting>
  <conditionalFormatting sqref="N10:Q10">
    <cfRule type="expression" dxfId="1" priority="7">
      <formula>CQ10="Recurso Adquirido"</formula>
    </cfRule>
  </conditionalFormatting>
  <conditionalFormatting sqref="R10:U10">
    <cfRule type="expression" dxfId="1" priority="8">
      <formula>CR10="Recurso Adquirido"</formula>
    </cfRule>
  </conditionalFormatting>
  <conditionalFormatting sqref="V10:Y10">
    <cfRule type="expression" dxfId="1" priority="9">
      <formula>CS10="Recurso Adquirido"</formula>
    </cfRule>
  </conditionalFormatting>
  <conditionalFormatting sqref="Z10:AC10">
    <cfRule type="expression" dxfId="1" priority="10">
      <formula>CT10="Recurso Adquirido"</formula>
    </cfRule>
  </conditionalFormatting>
  <conditionalFormatting sqref="AD10:AG10">
    <cfRule type="expression" dxfId="1" priority="11">
      <formula>CU10="Recurso Adquirido"</formula>
    </cfRule>
  </conditionalFormatting>
  <conditionalFormatting sqref="AH10:AK10">
    <cfRule type="expression" dxfId="1" priority="12">
      <formula>CV10="Recurso Adquirido"</formula>
    </cfRule>
  </conditionalFormatting>
  <conditionalFormatting sqref="AL10:AO10">
    <cfRule type="expression" dxfId="1" priority="13">
      <formula>CW10="Recurso Adquirido"</formula>
    </cfRule>
  </conditionalFormatting>
  <dataValidations>
    <dataValidation type="list" allowBlank="1" showErrorMessage="1" sqref="AU4">
      <formula1>ABA!$DP$13:$DP$23</formula1>
    </dataValidation>
    <dataValidation type="decimal" operator="greaterThanOrEqual" allowBlank="1" showDropDown="1" showInputMessage="1" prompt="Indique a quantidade de vezes que o paciente deve cumprir 100% a habilidade, para ser considerada como adquirida." sqref="BI4">
      <formula1>1.0</formula1>
    </dataValidation>
    <dataValidation type="custom" allowBlank="1" showDropDown="1" showErrorMessage="1" sqref="A13:A500">
      <formula1>OR(NOT(ISERROR(DATEVALUE(A13))), AND(ISNUMBER(A13), LEFT(CELL("format", A13))="D"))</formula1>
    </dataValidation>
    <dataValidation type="list" allowBlank="1" showErrorMessage="1" sqref="BB4">
      <formula1>ABA!$B$10:$AO$10</formula1>
    </dataValidation>
    <dataValidation type="decimal" operator="greaterThanOrEqual" allowBlank="1" showDropDown="1" showErrorMessage="1" sqref="B13:AO500">
      <formula1>0.0</formula1>
    </dataValidation>
  </dataValidations>
  <printOptions/>
  <pageMargins bottom="0.7875" footer="0.0" header="0.0" left="0.511805555555556" right="0.511805555555556" top="0.78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 outlineLevelRow="1"/>
  <sheetData/>
  <drawing r:id="rId1"/>
</worksheet>
</file>